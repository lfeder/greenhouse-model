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ny\Downloads\"/>
    </mc:Choice>
  </mc:AlternateContent>
  <xr:revisionPtr revIDLastSave="0" documentId="8_{17EA3397-162A-4925-9591-F9DB0F37F7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T CF" sheetId="14" r:id="rId1"/>
    <sheet name="Debt Schedule" sheetId="15" r:id="rId2"/>
  </sheets>
  <definedNames>
    <definedName name="_xlnm._FilterDatabase" localSheetId="1" hidden="1">'Debt Schedule'!$AQ$3:$AU$37</definedName>
    <definedName name="AgInt">'Debt Schedule'!$N$4:$N$18</definedName>
    <definedName name="AgP">'Debt Schedule'!$P$4:$P$18</definedName>
    <definedName name="AgYears">'Debt Schedule'!$K$4:$K$18</definedName>
    <definedName name="BIPAHInt">'Debt Schedule'!$AE$4:$AE$243</definedName>
    <definedName name="BIPAHP">'Debt Schedule'!$AG$4:$AG$243</definedName>
    <definedName name="BIPAHYears">'Debt Schedule'!$AA$4:$AA$243</definedName>
    <definedName name="CFAmt">#REF!</definedName>
    <definedName name="CFM">#REF!</definedName>
    <definedName name="CFType">#REF!</definedName>
    <definedName name="CFY">#REF!</definedName>
    <definedName name="Exp25_Acct">#REF!</definedName>
    <definedName name="Exp25_Amt">#REF!</definedName>
    <definedName name="Exp25_Class">#REF!</definedName>
    <definedName name="Exp25_Month">#REF!</definedName>
    <definedName name="FCLInt">'Debt Schedule'!$V$5:$V$82</definedName>
    <definedName name="FCLP">'Debt Schedule'!$X$5:$X$82</definedName>
    <definedName name="FCLYears">'Debt Schedule'!$S$5:$S$82</definedName>
    <definedName name="InvoiceCase">#REF!</definedName>
    <definedName name="InvoiceProd">#REF!</definedName>
    <definedName name="InvoiceWW">#REF!</definedName>
    <definedName name="InvoiceYY">#REF!</definedName>
    <definedName name="JJBDownPaymentInt">'Debt Schedule'!$AM$4:$AM$8</definedName>
    <definedName name="JJBDownPaymentP">'Debt Schedule'!$AO$4:$AO$8</definedName>
    <definedName name="JJBDownPaymentYears">'Debt Schedule'!$AJ$4:$AJ$8</definedName>
    <definedName name="JJBLOCP">'Debt Schedule'!$BU$67:$BU$78</definedName>
    <definedName name="JJBLOCYears">'Debt Schedule'!$BT$67:$BT$78</definedName>
    <definedName name="JJBSolarP">'Debt Schedule'!$AS$4:$AS$32</definedName>
    <definedName name="JJBSolarYears">'Debt Schedule'!$AR$4:$AR$32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43" i="15" l="1"/>
  <c r="AA243" i="15"/>
  <c r="BT66" i="15"/>
  <c r="BT65" i="15"/>
  <c r="BT64" i="15"/>
  <c r="BT63" i="15"/>
  <c r="U63" i="15"/>
  <c r="U64" i="15" s="1"/>
  <c r="U65" i="15" s="1"/>
  <c r="U66" i="15" s="1"/>
  <c r="U67" i="15" s="1"/>
  <c r="U68" i="15" s="1"/>
  <c r="U69" i="15" s="1"/>
  <c r="U70" i="15" s="1"/>
  <c r="U71" i="15" s="1"/>
  <c r="U72" i="15" s="1"/>
  <c r="U73" i="15" s="1"/>
  <c r="U74" i="15" s="1"/>
  <c r="U75" i="15" s="1"/>
  <c r="U76" i="15" s="1"/>
  <c r="U77" i="15" s="1"/>
  <c r="U78" i="15" s="1"/>
  <c r="U79" i="15" s="1"/>
  <c r="U80" i="15" s="1"/>
  <c r="U81" i="15" s="1"/>
  <c r="U82" i="15" s="1"/>
  <c r="BT62" i="15"/>
  <c r="BT61" i="15"/>
  <c r="BT60" i="15"/>
  <c r="BT59" i="15"/>
  <c r="BT58" i="15"/>
  <c r="BT57" i="15"/>
  <c r="BT56" i="15"/>
  <c r="BT55" i="15"/>
  <c r="BT54" i="15"/>
  <c r="BT53" i="15"/>
  <c r="BT52" i="15"/>
  <c r="BT51" i="15"/>
  <c r="BT50" i="15"/>
  <c r="BT49" i="15"/>
  <c r="BT48" i="15"/>
  <c r="BT47" i="15"/>
  <c r="BT46" i="15"/>
  <c r="BT45" i="15"/>
  <c r="BT44" i="15"/>
  <c r="BT43" i="15"/>
  <c r="BT42" i="15"/>
  <c r="BA42" i="15"/>
  <c r="BA43" i="15" s="1"/>
  <c r="BT41" i="15"/>
  <c r="BT40" i="15"/>
  <c r="BA40" i="15"/>
  <c r="BA41" i="15" s="1"/>
  <c r="BT39" i="15"/>
  <c r="BT38" i="15"/>
  <c r="BT37" i="15"/>
  <c r="BT36" i="15"/>
  <c r="BA36" i="15"/>
  <c r="BA37" i="15" s="1"/>
  <c r="BA38" i="15" s="1"/>
  <c r="BT35" i="15"/>
  <c r="BA35" i="15"/>
  <c r="BT34" i="15"/>
  <c r="BT33" i="15"/>
  <c r="BA33" i="15"/>
  <c r="BT32" i="15"/>
  <c r="BA32" i="15"/>
  <c r="AR32" i="15"/>
  <c r="BT31" i="15"/>
  <c r="BA31" i="15"/>
  <c r="AR31" i="15"/>
  <c r="BT30" i="15"/>
  <c r="AR30" i="15"/>
  <c r="BT29" i="15"/>
  <c r="BT28" i="15"/>
  <c r="AQ28" i="15"/>
  <c r="AQ29" i="15" s="1"/>
  <c r="BT27" i="15"/>
  <c r="BA27" i="15"/>
  <c r="BT26" i="15"/>
  <c r="BA26" i="15"/>
  <c r="AR26" i="15"/>
  <c r="AR27" i="15" s="1"/>
  <c r="BT25" i="15"/>
  <c r="BT24" i="15"/>
  <c r="AQ24" i="15"/>
  <c r="AQ25" i="15" s="1"/>
  <c r="BT23" i="15"/>
  <c r="AR23" i="15"/>
  <c r="P23" i="15"/>
  <c r="O23" i="15"/>
  <c r="BT22" i="15"/>
  <c r="AS22" i="15"/>
  <c r="AR22" i="15"/>
  <c r="BT21" i="15"/>
  <c r="BC21" i="15"/>
  <c r="BC22" i="15" s="1"/>
  <c r="BC23" i="15" s="1"/>
  <c r="BC24" i="15" s="1"/>
  <c r="BC25" i="15" s="1"/>
  <c r="BC26" i="15" s="1"/>
  <c r="BC27" i="15" s="1"/>
  <c r="BC28" i="15" s="1"/>
  <c r="BC29" i="15" s="1"/>
  <c r="BC30" i="15" s="1"/>
  <c r="BC31" i="15" s="1"/>
  <c r="BC32" i="15" s="1"/>
  <c r="BC33" i="15" s="1"/>
  <c r="BC34" i="15" s="1"/>
  <c r="BC35" i="15" s="1"/>
  <c r="BC36" i="15" s="1"/>
  <c r="BC37" i="15" s="1"/>
  <c r="BC38" i="15" s="1"/>
  <c r="BC39" i="15" s="1"/>
  <c r="BC40" i="15" s="1"/>
  <c r="BC41" i="15" s="1"/>
  <c r="BC42" i="15" s="1"/>
  <c r="BC43" i="15" s="1"/>
  <c r="AR21" i="15"/>
  <c r="BT20" i="15"/>
  <c r="BJ20" i="15"/>
  <c r="AR20" i="15"/>
  <c r="BT19" i="15"/>
  <c r="BL19" i="15"/>
  <c r="BJ19" i="15"/>
  <c r="BL20" i="15" s="1"/>
  <c r="AR19" i="15"/>
  <c r="BT18" i="15"/>
  <c r="BJ18" i="15"/>
  <c r="BI18" i="15"/>
  <c r="BC18" i="15"/>
  <c r="BC19" i="15" s="1"/>
  <c r="BC20" i="15" s="1"/>
  <c r="AR18" i="15"/>
  <c r="BT17" i="15"/>
  <c r="AR17" i="15"/>
  <c r="BT16" i="15"/>
  <c r="BC16" i="15"/>
  <c r="BC17" i="15" s="1"/>
  <c r="AR16" i="15"/>
  <c r="U16" i="15"/>
  <c r="U17" i="15" s="1"/>
  <c r="U18" i="15" s="1"/>
  <c r="U19" i="15" s="1"/>
  <c r="U20" i="15" s="1"/>
  <c r="U21" i="15" s="1"/>
  <c r="U22" i="15" s="1"/>
  <c r="U23" i="15" s="1"/>
  <c r="U24" i="15" s="1"/>
  <c r="U25" i="15" s="1"/>
  <c r="U26" i="15" s="1"/>
  <c r="U27" i="15" s="1"/>
  <c r="U28" i="15" s="1"/>
  <c r="U29" i="15" s="1"/>
  <c r="U30" i="15" s="1"/>
  <c r="U31" i="15" s="1"/>
  <c r="U32" i="15" s="1"/>
  <c r="U33" i="15" s="1"/>
  <c r="U34" i="15" s="1"/>
  <c r="U35" i="15" s="1"/>
  <c r="U36" i="15" s="1"/>
  <c r="U37" i="15" s="1"/>
  <c r="U38" i="15" s="1"/>
  <c r="U39" i="15" s="1"/>
  <c r="U40" i="15" s="1"/>
  <c r="U41" i="15" s="1"/>
  <c r="U42" i="15" s="1"/>
  <c r="U43" i="15" s="1"/>
  <c r="U44" i="15" s="1"/>
  <c r="U45" i="15" s="1"/>
  <c r="U46" i="15" s="1"/>
  <c r="U47" i="15" s="1"/>
  <c r="U48" i="15" s="1"/>
  <c r="U49" i="15" s="1"/>
  <c r="U50" i="15" s="1"/>
  <c r="U51" i="15" s="1"/>
  <c r="U52" i="15" s="1"/>
  <c r="U53" i="15" s="1"/>
  <c r="U54" i="15" s="1"/>
  <c r="U55" i="15" s="1"/>
  <c r="U56" i="15" s="1"/>
  <c r="U57" i="15" s="1"/>
  <c r="U58" i="15" s="1"/>
  <c r="U59" i="15" s="1"/>
  <c r="U60" i="15" s="1"/>
  <c r="U61" i="15" s="1"/>
  <c r="U62" i="15" s="1"/>
  <c r="BT15" i="15"/>
  <c r="AR15" i="15"/>
  <c r="BT14" i="15"/>
  <c r="BG14" i="15"/>
  <c r="AR14" i="15"/>
  <c r="BT13" i="15"/>
  <c r="BG13" i="15"/>
  <c r="AR13" i="15"/>
  <c r="U13" i="15"/>
  <c r="U14" i="15" s="1"/>
  <c r="U15" i="15" s="1"/>
  <c r="BT12" i="15"/>
  <c r="BF12" i="15"/>
  <c r="BF13" i="15" s="1"/>
  <c r="BF14" i="15" s="1"/>
  <c r="AR12" i="15"/>
  <c r="BT11" i="15"/>
  <c r="AR11" i="15"/>
  <c r="F11" i="15"/>
  <c r="BT10" i="15"/>
  <c r="AR10" i="15"/>
  <c r="E10" i="15"/>
  <c r="D10" i="15"/>
  <c r="BT9" i="15"/>
  <c r="AS9" i="15"/>
  <c r="AR9" i="15"/>
  <c r="BT8" i="15"/>
  <c r="AR8" i="15"/>
  <c r="Z8" i="15"/>
  <c r="R8" i="15"/>
  <c r="J8" i="15"/>
  <c r="BW7" i="15"/>
  <c r="BT7" i="15"/>
  <c r="AU7" i="15"/>
  <c r="AR7" i="15"/>
  <c r="Z7" i="15"/>
  <c r="R7" i="15"/>
  <c r="BW6" i="15"/>
  <c r="BV6" i="15"/>
  <c r="BV7" i="15" s="1"/>
  <c r="BT6" i="15"/>
  <c r="AY6" i="15"/>
  <c r="AY7" i="15" s="1"/>
  <c r="AY8" i="15" s="1"/>
  <c r="AY9" i="15" s="1"/>
  <c r="AX10" i="15" s="1"/>
  <c r="AY10" i="15" s="1"/>
  <c r="AW6" i="15"/>
  <c r="AW7" i="15" s="1"/>
  <c r="AW8" i="15" s="1"/>
  <c r="AW9" i="15" s="1"/>
  <c r="AW10" i="15" s="1"/>
  <c r="AU6" i="15"/>
  <c r="AT6" i="15"/>
  <c r="AT7" i="15" s="1"/>
  <c r="AR6" i="15"/>
  <c r="U6" i="15"/>
  <c r="U7" i="15" s="1"/>
  <c r="U8" i="15" s="1"/>
  <c r="U9" i="15" s="1"/>
  <c r="U10" i="15" s="1"/>
  <c r="U11" i="15" s="1"/>
  <c r="U12" i="15" s="1"/>
  <c r="S6" i="15"/>
  <c r="R6" i="15"/>
  <c r="J6" i="15"/>
  <c r="J7" i="15" s="1"/>
  <c r="K6" i="15" s="1"/>
  <c r="BW5" i="15"/>
  <c r="BV5" i="15"/>
  <c r="BT5" i="15"/>
  <c r="BP5" i="15"/>
  <c r="BC5" i="15"/>
  <c r="BC6" i="15" s="1"/>
  <c r="BC7" i="15" s="1"/>
  <c r="BC8" i="15" s="1"/>
  <c r="BC9" i="15" s="1"/>
  <c r="BC10" i="15" s="1"/>
  <c r="BC11" i="15" s="1"/>
  <c r="BC12" i="15" s="1"/>
  <c r="BC13" i="15" s="1"/>
  <c r="BC14" i="15" s="1"/>
  <c r="BC15" i="15" s="1"/>
  <c r="AY5" i="15"/>
  <c r="AW5" i="15"/>
  <c r="AU5" i="15"/>
  <c r="AT5" i="15"/>
  <c r="AR5" i="15"/>
  <c r="AL5" i="15"/>
  <c r="AL6" i="15" s="1"/>
  <c r="AL7" i="15" s="1"/>
  <c r="AL8" i="15" s="1"/>
  <c r="AI5" i="15"/>
  <c r="Z5" i="15"/>
  <c r="Z6" i="15" s="1"/>
  <c r="AD5" i="15" s="1"/>
  <c r="V5" i="15"/>
  <c r="X5" i="15" s="1"/>
  <c r="S5" i="15"/>
  <c r="M5" i="15"/>
  <c r="J5" i="15"/>
  <c r="K4" i="15" s="1"/>
  <c r="BT4" i="15"/>
  <c r="BP4" i="15"/>
  <c r="BQ5" i="15" s="1"/>
  <c r="BC4" i="15"/>
  <c r="AY4" i="15"/>
  <c r="AT4" i="15"/>
  <c r="AR4" i="15"/>
  <c r="AN4" i="15"/>
  <c r="AK5" i="15" s="1"/>
  <c r="AM4" i="15"/>
  <c r="AL4" i="15"/>
  <c r="AE4" i="15"/>
  <c r="AD4" i="15"/>
  <c r="AC4" i="15"/>
  <c r="AA4" i="15"/>
  <c r="O4" i="15"/>
  <c r="L5" i="15" s="1"/>
  <c r="N4" i="15"/>
  <c r="P4" i="15" s="1"/>
  <c r="D99" i="14"/>
  <c r="D98" i="14"/>
  <c r="G97" i="14"/>
  <c r="H97" i="14" s="1"/>
  <c r="F97" i="14"/>
  <c r="E97" i="14"/>
  <c r="E96" i="14"/>
  <c r="F96" i="14" s="1"/>
  <c r="G96" i="14" s="1"/>
  <c r="H96" i="14" s="1"/>
  <c r="E95" i="14"/>
  <c r="I92" i="14"/>
  <c r="F92" i="14"/>
  <c r="G92" i="14" s="1"/>
  <c r="H92" i="14" s="1"/>
  <c r="E91" i="14"/>
  <c r="F91" i="14" s="1"/>
  <c r="G91" i="14" s="1"/>
  <c r="H91" i="14" s="1"/>
  <c r="I91" i="14" s="1"/>
  <c r="F87" i="14"/>
  <c r="G87" i="14" s="1"/>
  <c r="H87" i="14" s="1"/>
  <c r="H86" i="14"/>
  <c r="F86" i="14"/>
  <c r="G86" i="14" s="1"/>
  <c r="E86" i="14"/>
  <c r="G82" i="14"/>
  <c r="H82" i="14" s="1"/>
  <c r="I82" i="14" s="1"/>
  <c r="F82" i="14"/>
  <c r="I81" i="14"/>
  <c r="H81" i="14"/>
  <c r="G81" i="14"/>
  <c r="F81" i="14"/>
  <c r="E81" i="14"/>
  <c r="K73" i="14"/>
  <c r="J73" i="14"/>
  <c r="I73" i="14"/>
  <c r="K66" i="14"/>
  <c r="J66" i="14"/>
  <c r="I66" i="14"/>
  <c r="G65" i="14"/>
  <c r="E65" i="14"/>
  <c r="D55" i="14"/>
  <c r="K54" i="14"/>
  <c r="J54" i="14"/>
  <c r="I54" i="14"/>
  <c r="H54" i="14"/>
  <c r="G54" i="14"/>
  <c r="F54" i="14"/>
  <c r="E54" i="14"/>
  <c r="D54" i="14"/>
  <c r="D50" i="14"/>
  <c r="H48" i="14"/>
  <c r="G48" i="14"/>
  <c r="F48" i="14"/>
  <c r="E48" i="14"/>
  <c r="D48" i="14"/>
  <c r="D47" i="14"/>
  <c r="D58" i="14" s="1"/>
  <c r="K46" i="14"/>
  <c r="H42" i="14"/>
  <c r="E41" i="14"/>
  <c r="K38" i="14"/>
  <c r="J38" i="14"/>
  <c r="I38" i="14"/>
  <c r="G38" i="14"/>
  <c r="H38" i="14" s="1"/>
  <c r="E38" i="14"/>
  <c r="D38" i="14"/>
  <c r="K36" i="14"/>
  <c r="J36" i="14"/>
  <c r="E36" i="14"/>
  <c r="F36" i="14" s="1"/>
  <c r="G36" i="14" s="1"/>
  <c r="H36" i="14" s="1"/>
  <c r="K32" i="14"/>
  <c r="J32" i="14"/>
  <c r="G32" i="14"/>
  <c r="H32" i="14" s="1"/>
  <c r="I32" i="14" s="1"/>
  <c r="I26" i="14"/>
  <c r="J26" i="14" s="1"/>
  <c r="K26" i="14" s="1"/>
  <c r="H26" i="14"/>
  <c r="F26" i="14"/>
  <c r="G26" i="14" s="1"/>
  <c r="F6" i="14"/>
  <c r="E6" i="14"/>
  <c r="H5" i="14"/>
  <c r="G5" i="14"/>
  <c r="H4" i="14"/>
  <c r="I4" i="14" s="1"/>
  <c r="J4" i="14" s="1"/>
  <c r="K4" i="14" s="1"/>
  <c r="G4" i="14"/>
  <c r="K3" i="14"/>
  <c r="E98" i="14" l="1"/>
  <c r="F95" i="14"/>
  <c r="H6" i="14"/>
  <c r="I5" i="14"/>
  <c r="AI6" i="15"/>
  <c r="AJ4" i="15"/>
  <c r="E50" i="14"/>
  <c r="D52" i="14"/>
  <c r="D51" i="14" s="1"/>
  <c r="D49" i="14"/>
  <c r="D66" i="14"/>
  <c r="D73" i="14" s="1"/>
  <c r="J9" i="15"/>
  <c r="K7" i="15"/>
  <c r="R9" i="15"/>
  <c r="S7" i="15"/>
  <c r="F41" i="14"/>
  <c r="E55" i="14"/>
  <c r="O5" i="15"/>
  <c r="L6" i="15" s="1"/>
  <c r="N5" i="15"/>
  <c r="AQ30" i="15"/>
  <c r="AR29" i="15" s="1"/>
  <c r="AR28" i="15"/>
  <c r="BQ6" i="15"/>
  <c r="BP6" i="15"/>
  <c r="AM5" i="15"/>
  <c r="AN5" i="15" s="1"/>
  <c r="AK6" i="15" s="1"/>
  <c r="AO4" i="15"/>
  <c r="BL21" i="15"/>
  <c r="BJ21" i="15"/>
  <c r="Z9" i="15"/>
  <c r="AD7" i="15"/>
  <c r="AA7" i="15"/>
  <c r="K5" i="15"/>
  <c r="AT8" i="15"/>
  <c r="AU9" i="15" s="1"/>
  <c r="AU8" i="15"/>
  <c r="AA6" i="15"/>
  <c r="AD6" i="15"/>
  <c r="AT9" i="15"/>
  <c r="AC5" i="15"/>
  <c r="AC6" i="15" s="1"/>
  <c r="AC7" i="15" s="1"/>
  <c r="AC8" i="15" s="1"/>
  <c r="AC9" i="15" s="1"/>
  <c r="AC10" i="15" s="1"/>
  <c r="AC11" i="15" s="1"/>
  <c r="AC12" i="15" s="1"/>
  <c r="AC13" i="15" s="1"/>
  <c r="AC14" i="15" s="1"/>
  <c r="AC15" i="15" s="1"/>
  <c r="AC16" i="15" s="1"/>
  <c r="AC17" i="15" s="1"/>
  <c r="AC18" i="15" s="1"/>
  <c r="AC19" i="15" s="1"/>
  <c r="AC20" i="15" s="1"/>
  <c r="AC21" i="15" s="1"/>
  <c r="AC22" i="15" s="1"/>
  <c r="AC23" i="15" s="1"/>
  <c r="AC24" i="15" s="1"/>
  <c r="AC25" i="15" s="1"/>
  <c r="AC26" i="15" s="1"/>
  <c r="AC27" i="15" s="1"/>
  <c r="AC28" i="15" s="1"/>
  <c r="AC29" i="15" s="1"/>
  <c r="AC30" i="15" s="1"/>
  <c r="AC31" i="15" s="1"/>
  <c r="AC32" i="15" s="1"/>
  <c r="AC33" i="15" s="1"/>
  <c r="AC34" i="15" s="1"/>
  <c r="AC35" i="15" s="1"/>
  <c r="AC36" i="15" s="1"/>
  <c r="AC37" i="15" s="1"/>
  <c r="AC38" i="15" s="1"/>
  <c r="AC39" i="15" s="1"/>
  <c r="AC40" i="15" s="1"/>
  <c r="AC41" i="15" s="1"/>
  <c r="AC42" i="15" s="1"/>
  <c r="AC43" i="15" s="1"/>
  <c r="AC44" i="15" s="1"/>
  <c r="AC45" i="15" s="1"/>
  <c r="AC46" i="15" s="1"/>
  <c r="AC47" i="15" s="1"/>
  <c r="AC48" i="15" s="1"/>
  <c r="AC49" i="15" s="1"/>
  <c r="AC50" i="15" s="1"/>
  <c r="AC51" i="15" s="1"/>
  <c r="AC52" i="15" s="1"/>
  <c r="AC53" i="15" s="1"/>
  <c r="AC54" i="15" s="1"/>
  <c r="AC55" i="15" s="1"/>
  <c r="AC56" i="15" s="1"/>
  <c r="AC57" i="15" s="1"/>
  <c r="AC58" i="15" s="1"/>
  <c r="AC59" i="15" s="1"/>
  <c r="AC60" i="15" s="1"/>
  <c r="AC61" i="15" s="1"/>
  <c r="AC62" i="15" s="1"/>
  <c r="AC63" i="15" s="1"/>
  <c r="AC64" i="15" s="1"/>
  <c r="AC65" i="15" s="1"/>
  <c r="AC66" i="15" s="1"/>
  <c r="AC67" i="15" s="1"/>
  <c r="AC68" i="15" s="1"/>
  <c r="AC69" i="15" s="1"/>
  <c r="AC70" i="15" s="1"/>
  <c r="AC71" i="15" s="1"/>
  <c r="AC72" i="15" s="1"/>
  <c r="AC73" i="15" s="1"/>
  <c r="AC74" i="15" s="1"/>
  <c r="AC75" i="15" s="1"/>
  <c r="AC76" i="15" s="1"/>
  <c r="AC77" i="15" s="1"/>
  <c r="AC78" i="15" s="1"/>
  <c r="AC79" i="15" s="1"/>
  <c r="AC80" i="15" s="1"/>
  <c r="AC81" i="15" s="1"/>
  <c r="AC82" i="15" s="1"/>
  <c r="AC83" i="15" s="1"/>
  <c r="AC84" i="15" s="1"/>
  <c r="AC85" i="15" s="1"/>
  <c r="AC86" i="15" s="1"/>
  <c r="AC87" i="15" s="1"/>
  <c r="AC88" i="15" s="1"/>
  <c r="AC89" i="15" s="1"/>
  <c r="AC90" i="15" s="1"/>
  <c r="AC91" i="15" s="1"/>
  <c r="AC92" i="15" s="1"/>
  <c r="AC93" i="15" s="1"/>
  <c r="AC94" i="15" s="1"/>
  <c r="AC95" i="15" s="1"/>
  <c r="AC96" i="15" s="1"/>
  <c r="AC97" i="15" s="1"/>
  <c r="AC98" i="15" s="1"/>
  <c r="AC99" i="15" s="1"/>
  <c r="AC100" i="15" s="1"/>
  <c r="AC101" i="15" s="1"/>
  <c r="AC102" i="15" s="1"/>
  <c r="AC103" i="15" s="1"/>
  <c r="AC104" i="15" s="1"/>
  <c r="AC105" i="15" s="1"/>
  <c r="AC106" i="15" s="1"/>
  <c r="AC107" i="15" s="1"/>
  <c r="AC108" i="15" s="1"/>
  <c r="AC109" i="15" s="1"/>
  <c r="AC110" i="15" s="1"/>
  <c r="AC111" i="15" s="1"/>
  <c r="AC112" i="15" s="1"/>
  <c r="AC113" i="15" s="1"/>
  <c r="AC114" i="15" s="1"/>
  <c r="AC115" i="15" s="1"/>
  <c r="AC116" i="15" s="1"/>
  <c r="AC117" i="15" s="1"/>
  <c r="AC118" i="15" s="1"/>
  <c r="AC119" i="15" s="1"/>
  <c r="AC120" i="15" s="1"/>
  <c r="AC121" i="15" s="1"/>
  <c r="AC122" i="15" s="1"/>
  <c r="AC123" i="15" s="1"/>
  <c r="AC124" i="15" s="1"/>
  <c r="AC125" i="15" s="1"/>
  <c r="AC126" i="15" s="1"/>
  <c r="AC127" i="15" s="1"/>
  <c r="AC128" i="15" s="1"/>
  <c r="AC129" i="15" s="1"/>
  <c r="AC130" i="15" s="1"/>
  <c r="AC131" i="15" s="1"/>
  <c r="AC132" i="15" s="1"/>
  <c r="AC133" i="15" s="1"/>
  <c r="AC134" i="15" s="1"/>
  <c r="AC135" i="15" s="1"/>
  <c r="AC136" i="15" s="1"/>
  <c r="AC137" i="15" s="1"/>
  <c r="AC138" i="15" s="1"/>
  <c r="AC139" i="15" s="1"/>
  <c r="AC140" i="15" s="1"/>
  <c r="AC141" i="15" s="1"/>
  <c r="AC142" i="15" s="1"/>
  <c r="AC143" i="15" s="1"/>
  <c r="AC144" i="15" s="1"/>
  <c r="AC145" i="15" s="1"/>
  <c r="AC146" i="15" s="1"/>
  <c r="AC147" i="15" s="1"/>
  <c r="AC148" i="15" s="1"/>
  <c r="AC149" i="15" s="1"/>
  <c r="AC150" i="15" s="1"/>
  <c r="AC151" i="15" s="1"/>
  <c r="AC152" i="15" s="1"/>
  <c r="AC153" i="15" s="1"/>
  <c r="AC154" i="15" s="1"/>
  <c r="AC155" i="15" s="1"/>
  <c r="AC156" i="15" s="1"/>
  <c r="AC157" i="15" s="1"/>
  <c r="AC158" i="15" s="1"/>
  <c r="AC159" i="15" s="1"/>
  <c r="AC160" i="15" s="1"/>
  <c r="AC161" i="15" s="1"/>
  <c r="AC162" i="15" s="1"/>
  <c r="AC163" i="15" s="1"/>
  <c r="AC164" i="15" s="1"/>
  <c r="AC165" i="15" s="1"/>
  <c r="AC166" i="15" s="1"/>
  <c r="AC167" i="15" s="1"/>
  <c r="AC168" i="15" s="1"/>
  <c r="AC169" i="15" s="1"/>
  <c r="AC170" i="15" s="1"/>
  <c r="AC171" i="15" s="1"/>
  <c r="AC172" i="15" s="1"/>
  <c r="AC173" i="15" s="1"/>
  <c r="AC174" i="15" s="1"/>
  <c r="AC175" i="15" s="1"/>
  <c r="AC176" i="15" s="1"/>
  <c r="AC177" i="15" s="1"/>
  <c r="AC178" i="15" s="1"/>
  <c r="AC179" i="15" s="1"/>
  <c r="AC180" i="15" s="1"/>
  <c r="AC181" i="15" s="1"/>
  <c r="AC182" i="15" s="1"/>
  <c r="AC183" i="15" s="1"/>
  <c r="AC184" i="15" s="1"/>
  <c r="AC185" i="15" s="1"/>
  <c r="AC186" i="15" s="1"/>
  <c r="AC187" i="15" s="1"/>
  <c r="AC188" i="15" s="1"/>
  <c r="AC189" i="15" s="1"/>
  <c r="AC190" i="15" s="1"/>
  <c r="AC191" i="15" s="1"/>
  <c r="AC192" i="15" s="1"/>
  <c r="AC193" i="15" s="1"/>
  <c r="AC194" i="15" s="1"/>
  <c r="AC195" i="15" s="1"/>
  <c r="AC196" i="15" s="1"/>
  <c r="AC197" i="15" s="1"/>
  <c r="AC198" i="15" s="1"/>
  <c r="AC199" i="15" s="1"/>
  <c r="AC200" i="15" s="1"/>
  <c r="AC201" i="15" s="1"/>
  <c r="AC202" i="15" s="1"/>
  <c r="AC203" i="15" s="1"/>
  <c r="AC204" i="15" s="1"/>
  <c r="AC205" i="15" s="1"/>
  <c r="AC206" i="15" s="1"/>
  <c r="AC207" i="15" s="1"/>
  <c r="AC208" i="15" s="1"/>
  <c r="AC209" i="15" s="1"/>
  <c r="AC210" i="15" s="1"/>
  <c r="AC211" i="15" s="1"/>
  <c r="AC212" i="15" s="1"/>
  <c r="AC213" i="15" s="1"/>
  <c r="AC214" i="15" s="1"/>
  <c r="AC215" i="15" s="1"/>
  <c r="AC216" i="15" s="1"/>
  <c r="AC217" i="15" s="1"/>
  <c r="AC218" i="15" s="1"/>
  <c r="AC219" i="15" s="1"/>
  <c r="AC220" i="15" s="1"/>
  <c r="AC221" i="15" s="1"/>
  <c r="AC222" i="15" s="1"/>
  <c r="AC223" i="15" s="1"/>
  <c r="AC224" i="15" s="1"/>
  <c r="AC225" i="15" s="1"/>
  <c r="AC226" i="15" s="1"/>
  <c r="AC227" i="15" s="1"/>
  <c r="AC228" i="15" s="1"/>
  <c r="AC229" i="15" s="1"/>
  <c r="AC230" i="15" s="1"/>
  <c r="AC231" i="15" s="1"/>
  <c r="AC232" i="15" s="1"/>
  <c r="AC233" i="15" s="1"/>
  <c r="AC234" i="15" s="1"/>
  <c r="AC235" i="15" s="1"/>
  <c r="AC236" i="15" s="1"/>
  <c r="AC237" i="15" s="1"/>
  <c r="AC238" i="15" s="1"/>
  <c r="AC239" i="15" s="1"/>
  <c r="AC240" i="15" s="1"/>
  <c r="AC241" i="15" s="1"/>
  <c r="AC242" i="15" s="1"/>
  <c r="AC243" i="15" s="1"/>
  <c r="AF4" i="15"/>
  <c r="AB5" i="15" s="1"/>
  <c r="E47" i="14"/>
  <c r="BW8" i="15"/>
  <c r="BV8" i="15"/>
  <c r="D56" i="14"/>
  <c r="E66" i="14"/>
  <c r="E73" i="14" s="1"/>
  <c r="U2" i="15"/>
  <c r="W5" i="15"/>
  <c r="T6" i="15" s="1"/>
  <c r="AA5" i="15"/>
  <c r="M6" i="15"/>
  <c r="P5" i="15"/>
  <c r="I42" i="14"/>
  <c r="AR24" i="15"/>
  <c r="AQ26" i="15"/>
  <c r="AR25" i="15" s="1"/>
  <c r="BF15" i="15"/>
  <c r="BG15" i="15"/>
  <c r="G6" i="14"/>
  <c r="AM6" i="15" l="1"/>
  <c r="AN6" i="15" s="1"/>
  <c r="AK7" i="15" s="1"/>
  <c r="AO5" i="15"/>
  <c r="BG16" i="15"/>
  <c r="BF16" i="15"/>
  <c r="AA8" i="15"/>
  <c r="Z10" i="15"/>
  <c r="AD8" i="15"/>
  <c r="D21" i="14"/>
  <c r="BJ22" i="15"/>
  <c r="BL22" i="15"/>
  <c r="E57" i="14"/>
  <c r="F47" i="14"/>
  <c r="G95" i="14"/>
  <c r="F98" i="14"/>
  <c r="E52" i="14"/>
  <c r="E51" i="14" s="1"/>
  <c r="F50" i="14"/>
  <c r="D68" i="14"/>
  <c r="D71" i="14"/>
  <c r="S8" i="15"/>
  <c r="R10" i="15"/>
  <c r="J42" i="14"/>
  <c r="AI7" i="15"/>
  <c r="AJ5" i="15"/>
  <c r="F7" i="15"/>
  <c r="H7" i="15" s="1"/>
  <c r="F8" i="15"/>
  <c r="AT10" i="15"/>
  <c r="AU10" i="15"/>
  <c r="F55" i="14"/>
  <c r="G41" i="14"/>
  <c r="BQ7" i="15"/>
  <c r="BP7" i="15"/>
  <c r="J5" i="14"/>
  <c r="I6" i="14"/>
  <c r="BW9" i="15"/>
  <c r="BV9" i="15"/>
  <c r="E49" i="14"/>
  <c r="D60" i="14"/>
  <c r="D63" i="14"/>
  <c r="K8" i="15"/>
  <c r="J10" i="15"/>
  <c r="M7" i="15"/>
  <c r="AE5" i="15"/>
  <c r="AG4" i="15"/>
  <c r="N6" i="15"/>
  <c r="O6" i="15" s="1"/>
  <c r="L7" i="15" s="1"/>
  <c r="W6" i="15"/>
  <c r="T7" i="15" s="1"/>
  <c r="V6" i="15"/>
  <c r="X6" i="15" s="1"/>
  <c r="N7" i="15" l="1"/>
  <c r="E69" i="14"/>
  <c r="F51" i="14"/>
  <c r="AM7" i="15"/>
  <c r="AN7" i="15" s="1"/>
  <c r="AK8" i="15" s="1"/>
  <c r="AO6" i="15"/>
  <c r="P6" i="15"/>
  <c r="J11" i="15"/>
  <c r="K9" i="15"/>
  <c r="BP8" i="15"/>
  <c r="BQ8" i="15"/>
  <c r="BL23" i="15"/>
  <c r="BJ23" i="15"/>
  <c r="F52" i="14"/>
  <c r="F66" i="14"/>
  <c r="F73" i="14" s="1"/>
  <c r="G50" i="14"/>
  <c r="Z11" i="15"/>
  <c r="AA9" i="15"/>
  <c r="AD9" i="15"/>
  <c r="E61" i="14"/>
  <c r="F49" i="14"/>
  <c r="H95" i="14"/>
  <c r="G98" i="14"/>
  <c r="V7" i="15"/>
  <c r="X7" i="15" s="1"/>
  <c r="W7" i="15"/>
  <c r="T8" i="15" s="1"/>
  <c r="K5" i="14"/>
  <c r="K6" i="14" s="1"/>
  <c r="J6" i="14"/>
  <c r="K42" i="14"/>
  <c r="AU11" i="15"/>
  <c r="AT11" i="15"/>
  <c r="BG17" i="15"/>
  <c r="BF17" i="15"/>
  <c r="R11" i="15"/>
  <c r="S9" i="15"/>
  <c r="AF5" i="15"/>
  <c r="AB6" i="15" s="1"/>
  <c r="G47" i="14"/>
  <c r="F57" i="14"/>
  <c r="M8" i="15"/>
  <c r="BW10" i="15"/>
  <c r="BV10" i="15"/>
  <c r="AJ6" i="15"/>
  <c r="AI8" i="15"/>
  <c r="H41" i="14"/>
  <c r="G55" i="14"/>
  <c r="AO8" i="15" l="1"/>
  <c r="AM8" i="15"/>
  <c r="AN8" i="15" s="1"/>
  <c r="AO7" i="15"/>
  <c r="H47" i="14"/>
  <c r="G57" i="14"/>
  <c r="V8" i="15"/>
  <c r="X8" i="15" s="1"/>
  <c r="BW11" i="15"/>
  <c r="BV11" i="15"/>
  <c r="G51" i="14"/>
  <c r="F69" i="14"/>
  <c r="AJ7" i="15"/>
  <c r="G22" i="14" s="1"/>
  <c r="AI9" i="15"/>
  <c r="AJ8" i="15" s="1"/>
  <c r="BQ9" i="15"/>
  <c r="BP9" i="15"/>
  <c r="R12" i="15"/>
  <c r="S10" i="15"/>
  <c r="M9" i="15"/>
  <c r="I95" i="14"/>
  <c r="I98" i="14" s="1"/>
  <c r="H98" i="14"/>
  <c r="Z12" i="15"/>
  <c r="AA10" i="15"/>
  <c r="AD10" i="15"/>
  <c r="P7" i="15"/>
  <c r="G52" i="14"/>
  <c r="G66" i="14"/>
  <c r="G73" i="14" s="1"/>
  <c r="H50" i="14"/>
  <c r="J12" i="15"/>
  <c r="K10" i="15"/>
  <c r="I41" i="14"/>
  <c r="H55" i="14"/>
  <c r="AT12" i="15"/>
  <c r="AU12" i="15"/>
  <c r="BG18" i="15"/>
  <c r="BF18" i="15"/>
  <c r="BQ10" i="15"/>
  <c r="O7" i="15"/>
  <c r="L8" i="15" s="1"/>
  <c r="AG6" i="15"/>
  <c r="AF6" i="15"/>
  <c r="AB7" i="15" s="1"/>
  <c r="AE6" i="15"/>
  <c r="AG5" i="15"/>
  <c r="F61" i="14"/>
  <c r="G49" i="14"/>
  <c r="BJ24" i="15"/>
  <c r="BL24" i="15"/>
  <c r="N8" i="15" l="1"/>
  <c r="P8" i="15" s="1"/>
  <c r="Z13" i="15"/>
  <c r="AA11" i="15"/>
  <c r="AD11" i="15"/>
  <c r="BV12" i="15"/>
  <c r="BW12" i="15"/>
  <c r="BF19" i="15"/>
  <c r="BG19" i="15"/>
  <c r="F13" i="14"/>
  <c r="J41" i="14"/>
  <c r="I55" i="14"/>
  <c r="R13" i="15"/>
  <c r="S11" i="15"/>
  <c r="D13" i="14"/>
  <c r="E22" i="14"/>
  <c r="I22" i="14"/>
  <c r="F22" i="14"/>
  <c r="J22" i="14"/>
  <c r="G13" i="14"/>
  <c r="H13" i="14"/>
  <c r="H49" i="14"/>
  <c r="G61" i="14"/>
  <c r="K13" i="14"/>
  <c r="E13" i="14"/>
  <c r="J13" i="14"/>
  <c r="I47" i="14"/>
  <c r="H57" i="14"/>
  <c r="BJ25" i="15"/>
  <c r="BL25" i="15"/>
  <c r="I13" i="14"/>
  <c r="W8" i="15"/>
  <c r="T9" i="15" s="1"/>
  <c r="D22" i="14"/>
  <c r="AU13" i="15"/>
  <c r="AT13" i="15"/>
  <c r="M10" i="15"/>
  <c r="H22" i="14"/>
  <c r="H52" i="14"/>
  <c r="H51" i="14" s="1"/>
  <c r="H66" i="14"/>
  <c r="H73" i="14" s="1"/>
  <c r="K22" i="14"/>
  <c r="K11" i="15"/>
  <c r="J13" i="15"/>
  <c r="G69" i="14"/>
  <c r="AE7" i="15"/>
  <c r="AF7" i="15"/>
  <c r="AB8" i="15" s="1"/>
  <c r="I51" i="14" l="1"/>
  <c r="H69" i="14"/>
  <c r="BW13" i="15"/>
  <c r="BV13" i="15"/>
  <c r="BJ26" i="15"/>
  <c r="BL26" i="15"/>
  <c r="AF8" i="15"/>
  <c r="AB9" i="15" s="1"/>
  <c r="AG8" i="15" s="1"/>
  <c r="AE8" i="15"/>
  <c r="AG7" i="15"/>
  <c r="AU14" i="15"/>
  <c r="AT14" i="15"/>
  <c r="O8" i="15"/>
  <c r="L9" i="15" s="1"/>
  <c r="W9" i="15"/>
  <c r="T10" i="15" s="1"/>
  <c r="V9" i="15"/>
  <c r="H61" i="14"/>
  <c r="I49" i="14"/>
  <c r="K12" i="15"/>
  <c r="J14" i="15"/>
  <c r="AD12" i="15"/>
  <c r="AA12" i="15"/>
  <c r="Z14" i="15"/>
  <c r="R14" i="15"/>
  <c r="S12" i="15"/>
  <c r="M11" i="15"/>
  <c r="BG20" i="15"/>
  <c r="BF20" i="15"/>
  <c r="J47" i="14"/>
  <c r="I57" i="14"/>
  <c r="K41" i="14"/>
  <c r="J55" i="14"/>
  <c r="BF21" i="15" l="1"/>
  <c r="BG21" i="15"/>
  <c r="R15" i="15"/>
  <c r="S13" i="15"/>
  <c r="AD13" i="15"/>
  <c r="AA13" i="15"/>
  <c r="Z15" i="15"/>
  <c r="BW14" i="15"/>
  <c r="BV14" i="15"/>
  <c r="N9" i="15"/>
  <c r="P9" i="15" s="1"/>
  <c r="J51" i="14"/>
  <c r="I69" i="14"/>
  <c r="J49" i="14"/>
  <c r="I61" i="14"/>
  <c r="AT15" i="15"/>
  <c r="AT16" i="15" s="1"/>
  <c r="AU15" i="15"/>
  <c r="BL27" i="15"/>
  <c r="BJ27" i="15"/>
  <c r="K55" i="14"/>
  <c r="X9" i="15"/>
  <c r="AE9" i="15"/>
  <c r="AF9" i="15" s="1"/>
  <c r="AB10" i="15" s="1"/>
  <c r="M12" i="15"/>
  <c r="K47" i="14"/>
  <c r="K57" i="14" s="1"/>
  <c r="J57" i="14"/>
  <c r="V10" i="15"/>
  <c r="X10" i="15" s="1"/>
  <c r="J15" i="15"/>
  <c r="K13" i="15"/>
  <c r="AF10" i="15" l="1"/>
  <c r="AB11" i="15" s="1"/>
  <c r="AE10" i="15"/>
  <c r="AG9" i="15"/>
  <c r="K51" i="14"/>
  <c r="K69" i="14" s="1"/>
  <c r="J69" i="14"/>
  <c r="BW15" i="15"/>
  <c r="BV15" i="15"/>
  <c r="BG22" i="15"/>
  <c r="BF22" i="15"/>
  <c r="AA14" i="15"/>
  <c r="Z16" i="15"/>
  <c r="AD14" i="15"/>
  <c r="K14" i="15"/>
  <c r="J16" i="15"/>
  <c r="M13" i="15"/>
  <c r="O9" i="15"/>
  <c r="L10" i="15" s="1"/>
  <c r="AU17" i="15"/>
  <c r="AT17" i="15"/>
  <c r="S14" i="15"/>
  <c r="R16" i="15"/>
  <c r="BL28" i="15"/>
  <c r="BJ28" i="15"/>
  <c r="W10" i="15"/>
  <c r="T11" i="15" s="1"/>
  <c r="K49" i="14"/>
  <c r="K61" i="14" s="1"/>
  <c r="J61" i="14"/>
  <c r="AU18" i="15" l="1"/>
  <c r="AU19" i="15" s="1"/>
  <c r="AT18" i="15"/>
  <c r="AT19" i="15" s="1"/>
  <c r="BL29" i="15"/>
  <c r="BL30" i="15" s="1"/>
  <c r="BJ29" i="15"/>
  <c r="BJ30" i="15" s="1"/>
  <c r="W11" i="15"/>
  <c r="T12" i="15" s="1"/>
  <c r="V11" i="15"/>
  <c r="BG23" i="15"/>
  <c r="BF23" i="15"/>
  <c r="AA15" i="15"/>
  <c r="AD15" i="15"/>
  <c r="Z17" i="15"/>
  <c r="BW16" i="15"/>
  <c r="BV16" i="15"/>
  <c r="N10" i="15"/>
  <c r="P10" i="15" s="1"/>
  <c r="O10" i="15"/>
  <c r="L11" i="15" s="1"/>
  <c r="M14" i="15"/>
  <c r="AE11" i="15"/>
  <c r="AF11" i="15" s="1"/>
  <c r="AB12" i="15" s="1"/>
  <c r="J17" i="15"/>
  <c r="AG10" i="15"/>
  <c r="S15" i="15"/>
  <c r="R17" i="15"/>
  <c r="AE12" i="15" l="1"/>
  <c r="AF12" i="15" s="1"/>
  <c r="AB13" i="15" s="1"/>
  <c r="AG11" i="15"/>
  <c r="M15" i="15"/>
  <c r="BL31" i="15"/>
  <c r="BJ31" i="15"/>
  <c r="R18" i="15"/>
  <c r="S16" i="15"/>
  <c r="X11" i="15"/>
  <c r="AT20" i="15"/>
  <c r="AU20" i="15"/>
  <c r="J18" i="15"/>
  <c r="K16" i="15"/>
  <c r="BW17" i="15"/>
  <c r="BV17" i="15"/>
  <c r="V12" i="15"/>
  <c r="X12" i="15" s="1"/>
  <c r="BF24" i="15"/>
  <c r="BG24" i="15"/>
  <c r="AA16" i="15"/>
  <c r="AD16" i="15"/>
  <c r="Z18" i="15"/>
  <c r="N11" i="15"/>
  <c r="P11" i="15" s="1"/>
  <c r="O11" i="15"/>
  <c r="L12" i="15" s="1"/>
  <c r="AE13" i="15" l="1"/>
  <c r="AF13" i="15"/>
  <c r="AB14" i="15" s="1"/>
  <c r="AG12" i="15"/>
  <c r="W12" i="15"/>
  <c r="T13" i="15" s="1"/>
  <c r="BV18" i="15"/>
  <c r="BW18" i="15"/>
  <c r="M16" i="15"/>
  <c r="K17" i="15"/>
  <c r="J19" i="15"/>
  <c r="K18" i="15" s="1"/>
  <c r="BL32" i="15"/>
  <c r="BJ32" i="15"/>
  <c r="R19" i="15"/>
  <c r="S17" i="15"/>
  <c r="BG25" i="15"/>
  <c r="BF25" i="15"/>
  <c r="AA17" i="15"/>
  <c r="AD17" i="15"/>
  <c r="Z19" i="15"/>
  <c r="N12" i="15"/>
  <c r="P12" i="15" s="1"/>
  <c r="O12" i="15"/>
  <c r="L13" i="15" s="1"/>
  <c r="AT21" i="15"/>
  <c r="AU21" i="15"/>
  <c r="R20" i="15" l="1"/>
  <c r="S18" i="15"/>
  <c r="V13" i="15"/>
  <c r="BW19" i="15"/>
  <c r="BV19" i="15"/>
  <c r="M17" i="15"/>
  <c r="AU22" i="15"/>
  <c r="AT22" i="15"/>
  <c r="BL33" i="15"/>
  <c r="BL34" i="15" s="1"/>
  <c r="BJ33" i="15"/>
  <c r="BJ34" i="15" s="1"/>
  <c r="BF26" i="15"/>
  <c r="BG26" i="15"/>
  <c r="AE14" i="15"/>
  <c r="AF14" i="15" s="1"/>
  <c r="AB15" i="15" s="1"/>
  <c r="AD18" i="15"/>
  <c r="AA18" i="15"/>
  <c r="Z20" i="15"/>
  <c r="N13" i="15"/>
  <c r="P13" i="15" s="1"/>
  <c r="AG13" i="15"/>
  <c r="AE15" i="15" l="1"/>
  <c r="AF15" i="15" s="1"/>
  <c r="AB16" i="15" s="1"/>
  <c r="AG14" i="15"/>
  <c r="X13" i="15"/>
  <c r="AT23" i="15"/>
  <c r="AU23" i="15"/>
  <c r="AD19" i="15"/>
  <c r="Z21" i="15"/>
  <c r="AA19" i="15"/>
  <c r="W13" i="15"/>
  <c r="T14" i="15" s="1"/>
  <c r="M18" i="15"/>
  <c r="BG27" i="15"/>
  <c r="BF27" i="15"/>
  <c r="O13" i="15"/>
  <c r="L14" i="15" s="1"/>
  <c r="BI35" i="15"/>
  <c r="BJ35" i="15" s="1"/>
  <c r="BL35" i="15"/>
  <c r="BW20" i="15"/>
  <c r="BV20" i="15"/>
  <c r="R21" i="15"/>
  <c r="S19" i="15"/>
  <c r="AE16" i="15" l="1"/>
  <c r="AF16" i="15" s="1"/>
  <c r="AB17" i="15" s="1"/>
  <c r="AG15" i="15"/>
  <c r="BG28" i="15"/>
  <c r="BF28" i="15"/>
  <c r="AT24" i="15"/>
  <c r="AU24" i="15"/>
  <c r="BW21" i="15"/>
  <c r="BV21" i="15"/>
  <c r="O14" i="15"/>
  <c r="L15" i="15" s="1"/>
  <c r="N14" i="15"/>
  <c r="P14" i="15" s="1"/>
  <c r="W14" i="15"/>
  <c r="T15" i="15" s="1"/>
  <c r="V14" i="15"/>
  <c r="X14" i="15" s="1"/>
  <c r="AD20" i="15"/>
  <c r="Z22" i="15"/>
  <c r="AA20" i="15"/>
  <c r="S20" i="15"/>
  <c r="R22" i="15"/>
  <c r="AE17" i="15" l="1"/>
  <c r="AF17" i="15" s="1"/>
  <c r="AB18" i="15" s="1"/>
  <c r="AG16" i="15"/>
  <c r="BW22" i="15"/>
  <c r="BV22" i="15"/>
  <c r="BF29" i="15"/>
  <c r="BG29" i="15"/>
  <c r="AA21" i="15"/>
  <c r="Z23" i="15"/>
  <c r="AD21" i="15"/>
  <c r="N15" i="15"/>
  <c r="P15" i="15" s="1"/>
  <c r="O15" i="15"/>
  <c r="AU25" i="15"/>
  <c r="AT25" i="15"/>
  <c r="V15" i="15"/>
  <c r="X15" i="15" s="1"/>
  <c r="S21" i="15"/>
  <c r="R23" i="15"/>
  <c r="AE18" i="15" l="1"/>
  <c r="AF18" i="15" s="1"/>
  <c r="AB19" i="15" s="1"/>
  <c r="AG17" i="15"/>
  <c r="AU26" i="15"/>
  <c r="AU27" i="15" s="1"/>
  <c r="D12" i="14" s="1"/>
  <c r="AT26" i="15"/>
  <c r="AT27" i="15" s="1"/>
  <c r="L16" i="15"/>
  <c r="AD22" i="15"/>
  <c r="AA22" i="15"/>
  <c r="Z24" i="15"/>
  <c r="BG30" i="15"/>
  <c r="BF30" i="15"/>
  <c r="BW23" i="15"/>
  <c r="BV23" i="15"/>
  <c r="W15" i="15"/>
  <c r="T16" i="15" s="1"/>
  <c r="R24" i="15"/>
  <c r="S22" i="15"/>
  <c r="AE19" i="15" l="1"/>
  <c r="AF19" i="15" s="1"/>
  <c r="AB20" i="15" s="1"/>
  <c r="AG18" i="15"/>
  <c r="V16" i="15"/>
  <c r="X16" i="15" s="1"/>
  <c r="N16" i="15"/>
  <c r="AU28" i="15"/>
  <c r="AT28" i="15"/>
  <c r="S23" i="15"/>
  <c r="R25" i="15"/>
  <c r="BW24" i="15"/>
  <c r="BV24" i="15"/>
  <c r="AD23" i="15"/>
  <c r="Z25" i="15"/>
  <c r="AA23" i="15"/>
  <c r="BG31" i="15"/>
  <c r="BF31" i="15"/>
  <c r="AF20" i="15" l="1"/>
  <c r="AB21" i="15" s="1"/>
  <c r="AE20" i="15"/>
  <c r="AG19" i="15"/>
  <c r="AD24" i="15"/>
  <c r="Z26" i="15"/>
  <c r="AA24" i="15"/>
  <c r="W16" i="15"/>
  <c r="T17" i="15" s="1"/>
  <c r="BW25" i="15"/>
  <c r="BV25" i="15"/>
  <c r="AU29" i="15"/>
  <c r="AT29" i="15"/>
  <c r="P16" i="15"/>
  <c r="O16" i="15"/>
  <c r="S24" i="15"/>
  <c r="R26" i="15"/>
  <c r="BG32" i="15"/>
  <c r="BF32" i="15"/>
  <c r="BG33" i="15" l="1"/>
  <c r="BF33" i="15"/>
  <c r="BV26" i="15"/>
  <c r="BW26" i="15"/>
  <c r="AT30" i="15"/>
  <c r="AU30" i="15"/>
  <c r="V17" i="15"/>
  <c r="X17" i="15" s="1"/>
  <c r="AD25" i="15"/>
  <c r="AA25" i="15"/>
  <c r="Z27" i="15"/>
  <c r="L17" i="15"/>
  <c r="S25" i="15"/>
  <c r="R27" i="15"/>
  <c r="AE21" i="15"/>
  <c r="AF21" i="15" s="1"/>
  <c r="AB22" i="15" s="1"/>
  <c r="AG20" i="15"/>
  <c r="AF22" i="15" l="1"/>
  <c r="AB23" i="15" s="1"/>
  <c r="AE22" i="15"/>
  <c r="AG22" i="15"/>
  <c r="AG21" i="15"/>
  <c r="R28" i="15"/>
  <c r="S26" i="15"/>
  <c r="N17" i="15"/>
  <c r="O17" i="15" s="1"/>
  <c r="W17" i="15"/>
  <c r="T18" i="15" s="1"/>
  <c r="BG34" i="15"/>
  <c r="BG35" i="15" s="1"/>
  <c r="BF34" i="15"/>
  <c r="BF35" i="15" s="1"/>
  <c r="BV27" i="15"/>
  <c r="BW27" i="15"/>
  <c r="AA26" i="15"/>
  <c r="Z28" i="15"/>
  <c r="AD26" i="15"/>
  <c r="AU31" i="15"/>
  <c r="AU32" i="15" s="1"/>
  <c r="E12" i="14" s="1"/>
  <c r="AS31" i="15"/>
  <c r="L18" i="15" l="1"/>
  <c r="Z29" i="15"/>
  <c r="AD27" i="15"/>
  <c r="AA27" i="15"/>
  <c r="AT31" i="15"/>
  <c r="AS32" i="15" s="1"/>
  <c r="AT32" i="15" s="1"/>
  <c r="E21" i="14"/>
  <c r="V18" i="15"/>
  <c r="X18" i="15" s="1"/>
  <c r="P17" i="15"/>
  <c r="R29" i="15"/>
  <c r="S27" i="15"/>
  <c r="BW28" i="15"/>
  <c r="BV28" i="15"/>
  <c r="BG36" i="15"/>
  <c r="BF36" i="15"/>
  <c r="AE23" i="15"/>
  <c r="AF23" i="15"/>
  <c r="AB24" i="15" s="1"/>
  <c r="AE24" i="15" l="1"/>
  <c r="AF24" i="15"/>
  <c r="AB25" i="15" s="1"/>
  <c r="W18" i="15"/>
  <c r="T19" i="15" s="1"/>
  <c r="AG23" i="15"/>
  <c r="AA28" i="15"/>
  <c r="Z30" i="15"/>
  <c r="AD28" i="15"/>
  <c r="S28" i="15"/>
  <c r="R30" i="15"/>
  <c r="BG37" i="15"/>
  <c r="BF37" i="15"/>
  <c r="BW29" i="15"/>
  <c r="BV29" i="15"/>
  <c r="N18" i="15"/>
  <c r="C8" i="15"/>
  <c r="Z31" i="15" l="1"/>
  <c r="AD29" i="15"/>
  <c r="AA29" i="15"/>
  <c r="D8" i="14"/>
  <c r="P18" i="15"/>
  <c r="E8" i="14"/>
  <c r="C11" i="15"/>
  <c r="V19" i="15"/>
  <c r="X19" i="15" s="1"/>
  <c r="S29" i="15"/>
  <c r="R31" i="15"/>
  <c r="O18" i="15"/>
  <c r="C10" i="15" s="1"/>
  <c r="H10" i="15" s="1"/>
  <c r="BW30" i="15"/>
  <c r="BV30" i="15"/>
  <c r="BG38" i="15"/>
  <c r="BF38" i="15"/>
  <c r="AE25" i="15"/>
  <c r="AF25" i="15" s="1"/>
  <c r="AB26" i="15" s="1"/>
  <c r="AG24" i="15"/>
  <c r="AE26" i="15" l="1"/>
  <c r="AF26" i="15" s="1"/>
  <c r="AB27" i="15" s="1"/>
  <c r="AG25" i="15"/>
  <c r="BW31" i="15"/>
  <c r="BV31" i="15"/>
  <c r="W19" i="15"/>
  <c r="T20" i="15" s="1"/>
  <c r="S30" i="15"/>
  <c r="R32" i="15"/>
  <c r="D17" i="14"/>
  <c r="E17" i="14"/>
  <c r="BF39" i="15"/>
  <c r="BG39" i="15"/>
  <c r="AA30" i="15"/>
  <c r="AD30" i="15"/>
  <c r="Z32" i="15"/>
  <c r="AE27" i="15" l="1"/>
  <c r="AF27" i="15" s="1"/>
  <c r="AB28" i="15" s="1"/>
  <c r="AG26" i="15"/>
  <c r="R33" i="15"/>
  <c r="S31" i="15"/>
  <c r="V20" i="15"/>
  <c r="X20" i="15" s="1"/>
  <c r="AD31" i="15"/>
  <c r="AA31" i="15"/>
  <c r="Z33" i="15"/>
  <c r="BF40" i="15"/>
  <c r="BF41" i="15" s="1"/>
  <c r="BG40" i="15"/>
  <c r="BW32" i="15"/>
  <c r="BV32" i="15"/>
  <c r="AE28" i="15" l="1"/>
  <c r="AF28" i="15" s="1"/>
  <c r="AB29" i="15" s="1"/>
  <c r="AG27" i="15"/>
  <c r="W20" i="15"/>
  <c r="T21" i="15" s="1"/>
  <c r="BV33" i="15"/>
  <c r="BW33" i="15"/>
  <c r="AA32" i="15"/>
  <c r="Z34" i="15"/>
  <c r="AD32" i="15"/>
  <c r="S32" i="15"/>
  <c r="R34" i="15"/>
  <c r="AE29" i="15" l="1"/>
  <c r="AF29" i="15" s="1"/>
  <c r="AB30" i="15" s="1"/>
  <c r="AG28" i="15"/>
  <c r="V21" i="15"/>
  <c r="X21" i="15" s="1"/>
  <c r="AD33" i="15"/>
  <c r="Z35" i="15"/>
  <c r="AA33" i="15"/>
  <c r="BV34" i="15"/>
  <c r="BW34" i="15"/>
  <c r="S33" i="15"/>
  <c r="R35" i="15"/>
  <c r="AE30" i="15" l="1"/>
  <c r="AF30" i="15"/>
  <c r="AB31" i="15" s="1"/>
  <c r="AG30" i="15"/>
  <c r="AG29" i="15"/>
  <c r="BW35" i="15"/>
  <c r="BV35" i="15"/>
  <c r="AD34" i="15"/>
  <c r="Z36" i="15"/>
  <c r="AA34" i="15"/>
  <c r="W21" i="15"/>
  <c r="T22" i="15" s="1"/>
  <c r="R36" i="15"/>
  <c r="S34" i="15"/>
  <c r="S35" i="15" l="1"/>
  <c r="R37" i="15"/>
  <c r="AA35" i="15"/>
  <c r="AD35" i="15"/>
  <c r="Z37" i="15"/>
  <c r="AF31" i="15"/>
  <c r="AB32" i="15" s="1"/>
  <c r="AE31" i="15"/>
  <c r="V22" i="15"/>
  <c r="X22" i="15" s="1"/>
  <c r="BW36" i="15"/>
  <c r="BV36" i="15"/>
  <c r="BV37" i="15" l="1"/>
  <c r="BW37" i="15"/>
  <c r="R38" i="15"/>
  <c r="S36" i="15"/>
  <c r="AA36" i="15"/>
  <c r="AD36" i="15"/>
  <c r="Z38" i="15"/>
  <c r="W22" i="15"/>
  <c r="T23" i="15" s="1"/>
  <c r="AE32" i="15"/>
  <c r="AF32" i="15" s="1"/>
  <c r="AB33" i="15" s="1"/>
  <c r="AG31" i="15"/>
  <c r="AE33" i="15" l="1"/>
  <c r="AF33" i="15"/>
  <c r="AB34" i="15" s="1"/>
  <c r="AG33" i="15" s="1"/>
  <c r="AG32" i="15"/>
  <c r="V23" i="15"/>
  <c r="X23" i="15" s="1"/>
  <c r="S37" i="15"/>
  <c r="R39" i="15"/>
  <c r="AD37" i="15"/>
  <c r="Z39" i="15"/>
  <c r="AA37" i="15"/>
  <c r="BV38" i="15"/>
  <c r="BW38" i="15"/>
  <c r="Z40" i="15" l="1"/>
  <c r="AD38" i="15"/>
  <c r="AA38" i="15"/>
  <c r="S38" i="15"/>
  <c r="R40" i="15"/>
  <c r="W23" i="15"/>
  <c r="T24" i="15" s="1"/>
  <c r="BW39" i="15"/>
  <c r="BV39" i="15"/>
  <c r="AE34" i="15"/>
  <c r="AF34" i="15"/>
  <c r="AB35" i="15" s="1"/>
  <c r="AG34" i="15" s="1"/>
  <c r="R41" i="15" l="1"/>
  <c r="S39" i="15"/>
  <c r="AE35" i="15"/>
  <c r="AF35" i="15" s="1"/>
  <c r="AB36" i="15" s="1"/>
  <c r="BW40" i="15"/>
  <c r="BV40" i="15"/>
  <c r="V24" i="15"/>
  <c r="X24" i="15" s="1"/>
  <c r="AD39" i="15"/>
  <c r="Z41" i="15"/>
  <c r="AA39" i="15"/>
  <c r="AE36" i="15" l="1"/>
  <c r="AF36" i="15" s="1"/>
  <c r="AB37" i="15" s="1"/>
  <c r="AG35" i="15"/>
  <c r="AA40" i="15"/>
  <c r="Z42" i="15"/>
  <c r="AD40" i="15"/>
  <c r="W24" i="15"/>
  <c r="T25" i="15" s="1"/>
  <c r="BW41" i="15"/>
  <c r="BV41" i="15"/>
  <c r="S40" i="15"/>
  <c r="R42" i="15"/>
  <c r="AE37" i="15" l="1"/>
  <c r="AF37" i="15" s="1"/>
  <c r="AB38" i="15" s="1"/>
  <c r="AG36" i="15"/>
  <c r="AD41" i="15"/>
  <c r="AA41" i="15"/>
  <c r="Z43" i="15"/>
  <c r="R43" i="15"/>
  <c r="S41" i="15"/>
  <c r="V25" i="15"/>
  <c r="X25" i="15" s="1"/>
  <c r="BV42" i="15"/>
  <c r="BW42" i="15"/>
  <c r="AE38" i="15" l="1"/>
  <c r="AF38" i="15" s="1"/>
  <c r="AB39" i="15" s="1"/>
  <c r="AG37" i="15"/>
  <c r="R44" i="15"/>
  <c r="S42" i="15"/>
  <c r="D8" i="15"/>
  <c r="BV43" i="15"/>
  <c r="BW43" i="15"/>
  <c r="W25" i="15"/>
  <c r="T26" i="15" s="1"/>
  <c r="AA42" i="15"/>
  <c r="AD42" i="15"/>
  <c r="Z44" i="15"/>
  <c r="AE39" i="15" l="1"/>
  <c r="AF39" i="15" s="1"/>
  <c r="AB40" i="15" s="1"/>
  <c r="AG38" i="15"/>
  <c r="AD43" i="15"/>
  <c r="AA43" i="15"/>
  <c r="Z45" i="15"/>
  <c r="V26" i="15"/>
  <c r="X26" i="15" s="1"/>
  <c r="BW44" i="15"/>
  <c r="BV44" i="15"/>
  <c r="R45" i="15"/>
  <c r="S43" i="15"/>
  <c r="AE40" i="15" l="1"/>
  <c r="AF40" i="15" s="1"/>
  <c r="AB41" i="15" s="1"/>
  <c r="AG39" i="15"/>
  <c r="BW45" i="15"/>
  <c r="BV45" i="15"/>
  <c r="W26" i="15"/>
  <c r="T27" i="15" s="1"/>
  <c r="R46" i="15"/>
  <c r="S44" i="15"/>
  <c r="AD44" i="15"/>
  <c r="AA44" i="15"/>
  <c r="Z46" i="15"/>
  <c r="AE41" i="15" l="1"/>
  <c r="AF41" i="15" s="1"/>
  <c r="AB42" i="15" s="1"/>
  <c r="AG40" i="15"/>
  <c r="V27" i="15"/>
  <c r="X27" i="15" s="1"/>
  <c r="W27" i="15"/>
  <c r="T28" i="15" s="1"/>
  <c r="BW46" i="15"/>
  <c r="BV46" i="15"/>
  <c r="Z47" i="15"/>
  <c r="AD45" i="15"/>
  <c r="AA45" i="15"/>
  <c r="S45" i="15"/>
  <c r="R47" i="15"/>
  <c r="AE42" i="15" l="1"/>
  <c r="AF42" i="15"/>
  <c r="AB43" i="15" s="1"/>
  <c r="AG41" i="15"/>
  <c r="R48" i="15"/>
  <c r="S46" i="15"/>
  <c r="AD46" i="15"/>
  <c r="Z48" i="15"/>
  <c r="AA46" i="15"/>
  <c r="BV47" i="15"/>
  <c r="BW47" i="15"/>
  <c r="V28" i="15"/>
  <c r="X28" i="15" s="1"/>
  <c r="BW48" i="15" l="1"/>
  <c r="BV48" i="15"/>
  <c r="W28" i="15"/>
  <c r="T29" i="15" s="1"/>
  <c r="Z49" i="15"/>
  <c r="AA47" i="15"/>
  <c r="AD47" i="15"/>
  <c r="S47" i="15"/>
  <c r="R49" i="15"/>
  <c r="AE43" i="15"/>
  <c r="AF43" i="15"/>
  <c r="AB44" i="15" s="1"/>
  <c r="AG42" i="15"/>
  <c r="AE44" i="15" l="1"/>
  <c r="AF44" i="15" s="1"/>
  <c r="AB45" i="15" s="1"/>
  <c r="AG43" i="15"/>
  <c r="S48" i="15"/>
  <c r="R50" i="15"/>
  <c r="V29" i="15"/>
  <c r="X29" i="15" s="1"/>
  <c r="BV49" i="15"/>
  <c r="BW49" i="15"/>
  <c r="AA48" i="15"/>
  <c r="AD48" i="15"/>
  <c r="Z50" i="15"/>
  <c r="AE45" i="15" l="1"/>
  <c r="AF45" i="15" s="1"/>
  <c r="AB46" i="15" s="1"/>
  <c r="AG44" i="15"/>
  <c r="BW50" i="15"/>
  <c r="BV50" i="15"/>
  <c r="S49" i="15"/>
  <c r="R51" i="15"/>
  <c r="AA49" i="15"/>
  <c r="Z51" i="15"/>
  <c r="AD49" i="15"/>
  <c r="W29" i="15"/>
  <c r="T30" i="15" s="1"/>
  <c r="AE46" i="15" l="1"/>
  <c r="AF46" i="15"/>
  <c r="AB47" i="15" s="1"/>
  <c r="AG45" i="15"/>
  <c r="R52" i="15"/>
  <c r="S50" i="15"/>
  <c r="V30" i="15"/>
  <c r="X30" i="15" s="1"/>
  <c r="Z52" i="15"/>
  <c r="AA50" i="15"/>
  <c r="AD50" i="15"/>
  <c r="BV51" i="15"/>
  <c r="BW51" i="15"/>
  <c r="BV52" i="15" l="1"/>
  <c r="BW52" i="15"/>
  <c r="AA51" i="15"/>
  <c r="AD51" i="15"/>
  <c r="Z53" i="15"/>
  <c r="W30" i="15"/>
  <c r="T31" i="15" s="1"/>
  <c r="R53" i="15"/>
  <c r="S51" i="15"/>
  <c r="AE47" i="15"/>
  <c r="AF47" i="15" s="1"/>
  <c r="AB48" i="15" s="1"/>
  <c r="AG46" i="15"/>
  <c r="AE48" i="15" l="1"/>
  <c r="AF48" i="15" s="1"/>
  <c r="AB49" i="15" s="1"/>
  <c r="AG47" i="15"/>
  <c r="AA52" i="15"/>
  <c r="Z54" i="15"/>
  <c r="AD52" i="15"/>
  <c r="S52" i="15"/>
  <c r="R54" i="15"/>
  <c r="V31" i="15"/>
  <c r="X31" i="15" s="1"/>
  <c r="BW53" i="15"/>
  <c r="BV53" i="15"/>
  <c r="AE49" i="15" l="1"/>
  <c r="AF49" i="15" s="1"/>
  <c r="AB50" i="15" s="1"/>
  <c r="AG48" i="15"/>
  <c r="R55" i="15"/>
  <c r="S53" i="15"/>
  <c r="BW54" i="15"/>
  <c r="BV54" i="15"/>
  <c r="W31" i="15"/>
  <c r="T32" i="15" s="1"/>
  <c r="AD53" i="15"/>
  <c r="AA53" i="15"/>
  <c r="Z55" i="15"/>
  <c r="AE50" i="15" l="1"/>
  <c r="AF50" i="15"/>
  <c r="AB51" i="15" s="1"/>
  <c r="AG49" i="15"/>
  <c r="V32" i="15"/>
  <c r="X32" i="15" s="1"/>
  <c r="Z56" i="15"/>
  <c r="AA54" i="15"/>
  <c r="AD54" i="15"/>
  <c r="BV55" i="15"/>
  <c r="BW55" i="15"/>
  <c r="S54" i="15"/>
  <c r="R56" i="15"/>
  <c r="BW56" i="15" l="1"/>
  <c r="BV56" i="15"/>
  <c r="R57" i="15"/>
  <c r="S55" i="15"/>
  <c r="Z57" i="15"/>
  <c r="AD55" i="15"/>
  <c r="AA55" i="15"/>
  <c r="W32" i="15"/>
  <c r="T33" i="15" s="1"/>
  <c r="AE51" i="15"/>
  <c r="AF51" i="15" s="1"/>
  <c r="AB52" i="15" s="1"/>
  <c r="AG50" i="15"/>
  <c r="AE52" i="15" l="1"/>
  <c r="AF52" i="15" s="1"/>
  <c r="AB53" i="15" s="1"/>
  <c r="AG51" i="15"/>
  <c r="Z58" i="15"/>
  <c r="AA56" i="15"/>
  <c r="AD56" i="15"/>
  <c r="V33" i="15"/>
  <c r="X33" i="15" s="1"/>
  <c r="R58" i="15"/>
  <c r="S56" i="15"/>
  <c r="BV57" i="15"/>
  <c r="BW57" i="15"/>
  <c r="AE53" i="15" l="1"/>
  <c r="AF53" i="15"/>
  <c r="AB54" i="15" s="1"/>
  <c r="AG52" i="15"/>
  <c r="BW58" i="15"/>
  <c r="BV58" i="15"/>
  <c r="R59" i="15"/>
  <c r="S57" i="15"/>
  <c r="W33" i="15"/>
  <c r="T34" i="15" s="1"/>
  <c r="Z59" i="15"/>
  <c r="AA57" i="15"/>
  <c r="AD57" i="15"/>
  <c r="V34" i="15" l="1"/>
  <c r="X34" i="15" s="1"/>
  <c r="W34" i="15"/>
  <c r="T35" i="15" s="1"/>
  <c r="AA58" i="15"/>
  <c r="Z60" i="15"/>
  <c r="AD58" i="15"/>
  <c r="R60" i="15"/>
  <c r="S58" i="15"/>
  <c r="BV59" i="15"/>
  <c r="BW59" i="15"/>
  <c r="AE54" i="15"/>
  <c r="AF54" i="15" s="1"/>
  <c r="AB55" i="15" s="1"/>
  <c r="AG53" i="15"/>
  <c r="AE55" i="15" l="1"/>
  <c r="AF55" i="15" s="1"/>
  <c r="AB56" i="15" s="1"/>
  <c r="AG54" i="15"/>
  <c r="BW60" i="15"/>
  <c r="BV60" i="15"/>
  <c r="AD59" i="15"/>
  <c r="AA59" i="15"/>
  <c r="Z61" i="15"/>
  <c r="V35" i="15"/>
  <c r="X35" i="15" s="1"/>
  <c r="R61" i="15"/>
  <c r="S59" i="15"/>
  <c r="AE56" i="15" l="1"/>
  <c r="AF56" i="15" s="1"/>
  <c r="AB57" i="15" s="1"/>
  <c r="AG55" i="15"/>
  <c r="AA60" i="15"/>
  <c r="AD60" i="15"/>
  <c r="Z62" i="15"/>
  <c r="S60" i="15"/>
  <c r="R62" i="15"/>
  <c r="W35" i="15"/>
  <c r="T36" i="15" s="1"/>
  <c r="BW61" i="15"/>
  <c r="BV61" i="15"/>
  <c r="AE57" i="15" l="1"/>
  <c r="AF57" i="15" s="1"/>
  <c r="AB58" i="15" s="1"/>
  <c r="AG56" i="15"/>
  <c r="V36" i="15"/>
  <c r="X36" i="15" s="1"/>
  <c r="BV62" i="15"/>
  <c r="BW62" i="15"/>
  <c r="Z63" i="15"/>
  <c r="AA61" i="15"/>
  <c r="AD61" i="15"/>
  <c r="S61" i="15"/>
  <c r="R63" i="15"/>
  <c r="AE58" i="15" l="1"/>
  <c r="AF58" i="15" s="1"/>
  <c r="AB59" i="15" s="1"/>
  <c r="AG57" i="15"/>
  <c r="R64" i="15"/>
  <c r="S62" i="15"/>
  <c r="AA62" i="15"/>
  <c r="AD62" i="15"/>
  <c r="Z64" i="15"/>
  <c r="BV63" i="15"/>
  <c r="BW63" i="15"/>
  <c r="W36" i="15"/>
  <c r="T37" i="15" s="1"/>
  <c r="AE59" i="15" l="1"/>
  <c r="AF59" i="15" s="1"/>
  <c r="AB60" i="15" s="1"/>
  <c r="AG58" i="15"/>
  <c r="BW64" i="15"/>
  <c r="BV64" i="15"/>
  <c r="Z65" i="15"/>
  <c r="AA63" i="15"/>
  <c r="AD63" i="15"/>
  <c r="S63" i="15"/>
  <c r="R65" i="15"/>
  <c r="V37" i="15"/>
  <c r="X37" i="15" s="1"/>
  <c r="W37" i="15"/>
  <c r="T38" i="15" s="1"/>
  <c r="AE60" i="15" l="1"/>
  <c r="AF60" i="15" s="1"/>
  <c r="AB61" i="15" s="1"/>
  <c r="AG59" i="15"/>
  <c r="V38" i="15"/>
  <c r="X38" i="15" s="1"/>
  <c r="W38" i="15"/>
  <c r="T39" i="15" s="1"/>
  <c r="Z66" i="15"/>
  <c r="AA64" i="15"/>
  <c r="AD64" i="15"/>
  <c r="S64" i="15"/>
  <c r="R66" i="15"/>
  <c r="BW65" i="15"/>
  <c r="BV65" i="15"/>
  <c r="AE61" i="15" l="1"/>
  <c r="AF61" i="15" s="1"/>
  <c r="AB62" i="15" s="1"/>
  <c r="AG60" i="15"/>
  <c r="R67" i="15"/>
  <c r="S65" i="15"/>
  <c r="BV66" i="15"/>
  <c r="BW66" i="15"/>
  <c r="V39" i="15"/>
  <c r="X39" i="15" s="1"/>
  <c r="AA65" i="15"/>
  <c r="AD65" i="15"/>
  <c r="Z67" i="15"/>
  <c r="AE62" i="15" l="1"/>
  <c r="AF62" i="15" s="1"/>
  <c r="AB63" i="15" s="1"/>
  <c r="AG61" i="15"/>
  <c r="W39" i="15"/>
  <c r="T40" i="15" s="1"/>
  <c r="BW67" i="15"/>
  <c r="BV67" i="15"/>
  <c r="Z68" i="15"/>
  <c r="AA66" i="15"/>
  <c r="AD66" i="15"/>
  <c r="S66" i="15"/>
  <c r="R68" i="15"/>
  <c r="AE63" i="15" l="1"/>
  <c r="AF63" i="15" s="1"/>
  <c r="AB64" i="15" s="1"/>
  <c r="AG62" i="15"/>
  <c r="R69" i="15"/>
  <c r="S67" i="15"/>
  <c r="BW68" i="15"/>
  <c r="BV68" i="15"/>
  <c r="BV69" i="15" s="1"/>
  <c r="V40" i="15"/>
  <c r="X40" i="15" s="1"/>
  <c r="AD67" i="15"/>
  <c r="AA67" i="15"/>
  <c r="Z69" i="15"/>
  <c r="AE64" i="15" l="1"/>
  <c r="AF64" i="15" s="1"/>
  <c r="AB65" i="15" s="1"/>
  <c r="AG63" i="15"/>
  <c r="BW70" i="15"/>
  <c r="BV70" i="15"/>
  <c r="Z70" i="15"/>
  <c r="AA68" i="15"/>
  <c r="AD68" i="15"/>
  <c r="W40" i="15"/>
  <c r="T41" i="15" s="1"/>
  <c r="R70" i="15"/>
  <c r="S68" i="15"/>
  <c r="AE65" i="15" l="1"/>
  <c r="AF65" i="15"/>
  <c r="AB66" i="15" s="1"/>
  <c r="AG64" i="15"/>
  <c r="V41" i="15"/>
  <c r="X41" i="15" s="1"/>
  <c r="W41" i="15"/>
  <c r="T42" i="15" s="1"/>
  <c r="S69" i="15"/>
  <c r="R71" i="15"/>
  <c r="AA69" i="15"/>
  <c r="Z71" i="15"/>
  <c r="AD69" i="15"/>
  <c r="BW71" i="15"/>
  <c r="BV71" i="15"/>
  <c r="BV72" i="15" l="1"/>
  <c r="BW72" i="15"/>
  <c r="R72" i="15"/>
  <c r="S70" i="15"/>
  <c r="V42" i="15"/>
  <c r="X42" i="15" s="1"/>
  <c r="AD70" i="15"/>
  <c r="AA70" i="15"/>
  <c r="Z72" i="15"/>
  <c r="AE66" i="15"/>
  <c r="AF66" i="15"/>
  <c r="AB67" i="15" s="1"/>
  <c r="AG65" i="15"/>
  <c r="AE67" i="15" l="1"/>
  <c r="AF67" i="15" s="1"/>
  <c r="AB68" i="15" s="1"/>
  <c r="AG66" i="15"/>
  <c r="AA71" i="15"/>
  <c r="Z73" i="15"/>
  <c r="AD71" i="15"/>
  <c r="W42" i="15"/>
  <c r="T43" i="15" s="1"/>
  <c r="R73" i="15"/>
  <c r="S71" i="15"/>
  <c r="BW73" i="15"/>
  <c r="BV73" i="15"/>
  <c r="AE68" i="15" l="1"/>
  <c r="AF68" i="15" s="1"/>
  <c r="AB69" i="15" s="1"/>
  <c r="AG67" i="15"/>
  <c r="S72" i="15"/>
  <c r="R74" i="15"/>
  <c r="BW74" i="15"/>
  <c r="BV74" i="15"/>
  <c r="AD72" i="15"/>
  <c r="Z74" i="15"/>
  <c r="AA72" i="15"/>
  <c r="V43" i="15"/>
  <c r="X43" i="15" s="1"/>
  <c r="W43" i="15"/>
  <c r="T44" i="15" s="1"/>
  <c r="AE69" i="15" l="1"/>
  <c r="AF69" i="15" s="1"/>
  <c r="AB70" i="15" s="1"/>
  <c r="AG68" i="15"/>
  <c r="AD73" i="15"/>
  <c r="AA73" i="15"/>
  <c r="Z75" i="15"/>
  <c r="S73" i="15"/>
  <c r="R75" i="15"/>
  <c r="V44" i="15"/>
  <c r="X44" i="15" s="1"/>
  <c r="BV75" i="15"/>
  <c r="BW75" i="15"/>
  <c r="AE70" i="15" l="1"/>
  <c r="AF70" i="15" s="1"/>
  <c r="AB71" i="15" s="1"/>
  <c r="AG69" i="15"/>
  <c r="BW76" i="15"/>
  <c r="BV76" i="15"/>
  <c r="W44" i="15"/>
  <c r="T45" i="15" s="1"/>
  <c r="Z76" i="15"/>
  <c r="AD74" i="15"/>
  <c r="AA74" i="15"/>
  <c r="R76" i="15"/>
  <c r="S74" i="15"/>
  <c r="AG71" i="15" l="1"/>
  <c r="AE71" i="15"/>
  <c r="AF71" i="15"/>
  <c r="AB72" i="15" s="1"/>
  <c r="AG70" i="15"/>
  <c r="S75" i="15"/>
  <c r="R77" i="15"/>
  <c r="AD75" i="15"/>
  <c r="Z77" i="15"/>
  <c r="AA75" i="15"/>
  <c r="BU77" i="15"/>
  <c r="BW77" i="15"/>
  <c r="BW78" i="15" s="1"/>
  <c r="D11" i="14" s="1"/>
  <c r="V45" i="15"/>
  <c r="X45" i="15" s="1"/>
  <c r="W45" i="15"/>
  <c r="T46" i="15" s="1"/>
  <c r="V46" i="15" l="1"/>
  <c r="X46" i="15" s="1"/>
  <c r="BV77" i="15"/>
  <c r="BU78" i="15" s="1"/>
  <c r="BV78" i="15" s="1"/>
  <c r="BV79" i="15" s="1"/>
  <c r="D20" i="14"/>
  <c r="S76" i="15"/>
  <c r="R78" i="15"/>
  <c r="AE72" i="15"/>
  <c r="AF72" i="15" s="1"/>
  <c r="AB73" i="15" s="1"/>
  <c r="AA76" i="15"/>
  <c r="AD76" i="15"/>
  <c r="Z78" i="15"/>
  <c r="AE73" i="15" l="1"/>
  <c r="AF73" i="15" s="1"/>
  <c r="AB74" i="15" s="1"/>
  <c r="AG72" i="15"/>
  <c r="AD77" i="15"/>
  <c r="AA77" i="15"/>
  <c r="Z79" i="15"/>
  <c r="R79" i="15"/>
  <c r="S77" i="15"/>
  <c r="BW80" i="15"/>
  <c r="BU80" i="15"/>
  <c r="BV80" i="15" s="1"/>
  <c r="BU81" i="15" s="1"/>
  <c r="BV81" i="15" s="1"/>
  <c r="W46" i="15"/>
  <c r="T47" i="15" s="1"/>
  <c r="AE74" i="15" l="1"/>
  <c r="AF74" i="15" s="1"/>
  <c r="AB75" i="15" s="1"/>
  <c r="AG73" i="15"/>
  <c r="V47" i="15"/>
  <c r="X47" i="15" s="1"/>
  <c r="W47" i="15"/>
  <c r="T48" i="15" s="1"/>
  <c r="R80" i="15"/>
  <c r="S78" i="15"/>
  <c r="AD78" i="15"/>
  <c r="Z80" i="15"/>
  <c r="AA78" i="15"/>
  <c r="AE75" i="15" l="1"/>
  <c r="AF75" i="15"/>
  <c r="AB76" i="15" s="1"/>
  <c r="AG75" i="15"/>
  <c r="AG74" i="15"/>
  <c r="AA79" i="15"/>
  <c r="AD79" i="15"/>
  <c r="Z81" i="15"/>
  <c r="S79" i="15"/>
  <c r="R81" i="15"/>
  <c r="V48" i="15"/>
  <c r="X48" i="15" s="1"/>
  <c r="W48" i="15"/>
  <c r="T49" i="15" s="1"/>
  <c r="R82" i="15" l="1"/>
  <c r="S81" i="15" s="1"/>
  <c r="S80" i="15"/>
  <c r="V49" i="15"/>
  <c r="X49" i="15" s="1"/>
  <c r="W49" i="15"/>
  <c r="T50" i="15" s="1"/>
  <c r="AD80" i="15"/>
  <c r="Z82" i="15"/>
  <c r="AA80" i="15"/>
  <c r="AE76" i="15"/>
  <c r="AF76" i="15" s="1"/>
  <c r="AB77" i="15" s="1"/>
  <c r="AE77" i="15" l="1"/>
  <c r="AF77" i="15" s="1"/>
  <c r="AB78" i="15" s="1"/>
  <c r="AG76" i="15"/>
  <c r="AD81" i="15"/>
  <c r="Z83" i="15"/>
  <c r="AA81" i="15"/>
  <c r="V50" i="15"/>
  <c r="X50" i="15" s="1"/>
  <c r="W50" i="15"/>
  <c r="T51" i="15" s="1"/>
  <c r="K9" i="14"/>
  <c r="E18" i="14"/>
  <c r="F18" i="14"/>
  <c r="D11" i="15"/>
  <c r="E9" i="14"/>
  <c r="F9" i="14"/>
  <c r="K18" i="14"/>
  <c r="AE78" i="15" l="1"/>
  <c r="AF78" i="15" s="1"/>
  <c r="AB79" i="15" s="1"/>
  <c r="AG77" i="15"/>
  <c r="V51" i="15"/>
  <c r="AA82" i="15"/>
  <c r="Z84" i="15"/>
  <c r="AD82" i="15"/>
  <c r="AE79" i="15" l="1"/>
  <c r="AF79" i="15" s="1"/>
  <c r="AB80" i="15" s="1"/>
  <c r="AG78" i="15"/>
  <c r="X51" i="15"/>
  <c r="Z85" i="15"/>
  <c r="AA83" i="15"/>
  <c r="AD83" i="15"/>
  <c r="W51" i="15"/>
  <c r="T52" i="15" s="1"/>
  <c r="AE80" i="15" l="1"/>
  <c r="AF80" i="15"/>
  <c r="AB81" i="15" s="1"/>
  <c r="AG79" i="15"/>
  <c r="AA84" i="15"/>
  <c r="AD84" i="15"/>
  <c r="Z86" i="15"/>
  <c r="V52" i="15"/>
  <c r="X52" i="15" l="1"/>
  <c r="W52" i="15"/>
  <c r="T53" i="15" s="1"/>
  <c r="Z87" i="15"/>
  <c r="AA85" i="15"/>
  <c r="AD85" i="15"/>
  <c r="AE81" i="15"/>
  <c r="AF81" i="15"/>
  <c r="AB82" i="15" s="1"/>
  <c r="AG80" i="15"/>
  <c r="Z88" i="15" l="1"/>
  <c r="AD86" i="15"/>
  <c r="AA86" i="15"/>
  <c r="V53" i="15"/>
  <c r="W53" i="15" s="1"/>
  <c r="T54" i="15" s="1"/>
  <c r="AE82" i="15"/>
  <c r="AF82" i="15" s="1"/>
  <c r="AB83" i="15" s="1"/>
  <c r="AG81" i="15"/>
  <c r="AE83" i="15" l="1"/>
  <c r="AF83" i="15" s="1"/>
  <c r="AB84" i="15" s="1"/>
  <c r="AG82" i="15"/>
  <c r="V54" i="15"/>
  <c r="X54" i="15" s="1"/>
  <c r="X53" i="15"/>
  <c r="Z89" i="15"/>
  <c r="AA87" i="15"/>
  <c r="AD87" i="15"/>
  <c r="AE84" i="15" l="1"/>
  <c r="AF84" i="15" s="1"/>
  <c r="AB85" i="15" s="1"/>
  <c r="AG83" i="15"/>
  <c r="AA88" i="15"/>
  <c r="Z90" i="15"/>
  <c r="AD88" i="15"/>
  <c r="W54" i="15"/>
  <c r="T55" i="15" s="1"/>
  <c r="AE85" i="15" l="1"/>
  <c r="AF85" i="15"/>
  <c r="AB86" i="15" s="1"/>
  <c r="AG85" i="15"/>
  <c r="AG84" i="15"/>
  <c r="AD89" i="15"/>
  <c r="Z91" i="15"/>
  <c r="AA89" i="15"/>
  <c r="V55" i="15"/>
  <c r="X55" i="15" l="1"/>
  <c r="W55" i="15"/>
  <c r="T56" i="15" s="1"/>
  <c r="Z92" i="15"/>
  <c r="AD90" i="15"/>
  <c r="AA90" i="15"/>
  <c r="AE86" i="15"/>
  <c r="AF86" i="15"/>
  <c r="AB87" i="15" s="1"/>
  <c r="AE87" i="15" l="1"/>
  <c r="AF87" i="15" s="1"/>
  <c r="AB88" i="15" s="1"/>
  <c r="AG86" i="15"/>
  <c r="AA91" i="15"/>
  <c r="AD91" i="15"/>
  <c r="Z93" i="15"/>
  <c r="V56" i="15"/>
  <c r="X56" i="15" s="1"/>
  <c r="AE88" i="15" l="1"/>
  <c r="AF88" i="15" s="1"/>
  <c r="AB89" i="15" s="1"/>
  <c r="AG87" i="15"/>
  <c r="AD92" i="15"/>
  <c r="Z94" i="15"/>
  <c r="AA92" i="15"/>
  <c r="W56" i="15"/>
  <c r="T57" i="15" s="1"/>
  <c r="AE89" i="15" l="1"/>
  <c r="AF89" i="15" s="1"/>
  <c r="AB90" i="15" s="1"/>
  <c r="AG88" i="15"/>
  <c r="V57" i="15"/>
  <c r="W57" i="15"/>
  <c r="T58" i="15" s="1"/>
  <c r="Z95" i="15"/>
  <c r="AA93" i="15"/>
  <c r="AD93" i="15"/>
  <c r="AE90" i="15" l="1"/>
  <c r="AF90" i="15" s="1"/>
  <c r="AB91" i="15" s="1"/>
  <c r="AG89" i="15"/>
  <c r="Z96" i="15"/>
  <c r="AA94" i="15"/>
  <c r="AD94" i="15"/>
  <c r="V58" i="15"/>
  <c r="X58" i="15" s="1"/>
  <c r="X57" i="15"/>
  <c r="AE91" i="15" l="1"/>
  <c r="AF91" i="15" s="1"/>
  <c r="AB92" i="15" s="1"/>
  <c r="AG90" i="15"/>
  <c r="W58" i="15"/>
  <c r="T59" i="15" s="1"/>
  <c r="AD95" i="15"/>
  <c r="AA95" i="15"/>
  <c r="Z97" i="15"/>
  <c r="AE92" i="15" l="1"/>
  <c r="AF92" i="15" s="1"/>
  <c r="AB93" i="15" s="1"/>
  <c r="AG91" i="15"/>
  <c r="Z98" i="15"/>
  <c r="AA96" i="15"/>
  <c r="AD96" i="15"/>
  <c r="V59" i="15"/>
  <c r="AE93" i="15" l="1"/>
  <c r="AF93" i="15"/>
  <c r="AB94" i="15" s="1"/>
  <c r="AG93" i="15"/>
  <c r="AG92" i="15"/>
  <c r="X59" i="15"/>
  <c r="W59" i="15"/>
  <c r="T60" i="15" s="1"/>
  <c r="AA97" i="15"/>
  <c r="Z99" i="15"/>
  <c r="AD97" i="15"/>
  <c r="Z100" i="15" l="1"/>
  <c r="AA98" i="15"/>
  <c r="AD98" i="15"/>
  <c r="V60" i="15"/>
  <c r="W60" i="15" s="1"/>
  <c r="T61" i="15" s="1"/>
  <c r="AE94" i="15"/>
  <c r="AF94" i="15" s="1"/>
  <c r="AB95" i="15" s="1"/>
  <c r="AE95" i="15" l="1"/>
  <c r="AF95" i="15" s="1"/>
  <c r="AB96" i="15" s="1"/>
  <c r="AG94" i="15"/>
  <c r="V61" i="15"/>
  <c r="X61" i="15" s="1"/>
  <c r="W61" i="15"/>
  <c r="T62" i="15" s="1"/>
  <c r="X60" i="15"/>
  <c r="AD99" i="15"/>
  <c r="AA99" i="15"/>
  <c r="Z101" i="15"/>
  <c r="AE96" i="15" l="1"/>
  <c r="AF96" i="15"/>
  <c r="AB97" i="15" s="1"/>
  <c r="AG95" i="15"/>
  <c r="AD100" i="15"/>
  <c r="AA100" i="15"/>
  <c r="Z102" i="15"/>
  <c r="V62" i="15"/>
  <c r="AA101" i="15" l="1"/>
  <c r="Z103" i="15"/>
  <c r="AD101" i="15"/>
  <c r="X62" i="15"/>
  <c r="W62" i="15"/>
  <c r="T63" i="15" s="1"/>
  <c r="AE97" i="15"/>
  <c r="AF97" i="15" s="1"/>
  <c r="AB98" i="15" s="1"/>
  <c r="AG96" i="15"/>
  <c r="AE98" i="15" l="1"/>
  <c r="AF98" i="15" s="1"/>
  <c r="AB99" i="15" s="1"/>
  <c r="AG97" i="15"/>
  <c r="V63" i="15"/>
  <c r="X63" i="15" s="1"/>
  <c r="AA102" i="15"/>
  <c r="Z104" i="15"/>
  <c r="AD102" i="15"/>
  <c r="AE99" i="15" l="1"/>
  <c r="AF99" i="15" s="1"/>
  <c r="AB100" i="15" s="1"/>
  <c r="AG98" i="15"/>
  <c r="AD103" i="15"/>
  <c r="AA103" i="15"/>
  <c r="Z105" i="15"/>
  <c r="W63" i="15"/>
  <c r="T64" i="15" s="1"/>
  <c r="AE100" i="15" l="1"/>
  <c r="AF100" i="15" s="1"/>
  <c r="AB101" i="15" s="1"/>
  <c r="AG99" i="15"/>
  <c r="V64" i="15"/>
  <c r="X64" i="15" s="1"/>
  <c r="W64" i="15"/>
  <c r="T65" i="15" s="1"/>
  <c r="AD104" i="15"/>
  <c r="AA104" i="15"/>
  <c r="Z106" i="15"/>
  <c r="AE101" i="15" l="1"/>
  <c r="AF101" i="15" s="1"/>
  <c r="AB102" i="15" s="1"/>
  <c r="AG100" i="15"/>
  <c r="Z107" i="15"/>
  <c r="AA105" i="15"/>
  <c r="AD105" i="15"/>
  <c r="V65" i="15"/>
  <c r="X65" i="15" s="1"/>
  <c r="W65" i="15"/>
  <c r="T66" i="15" s="1"/>
  <c r="AE102" i="15" l="1"/>
  <c r="AF102" i="15" s="1"/>
  <c r="AB103" i="15" s="1"/>
  <c r="AG101" i="15"/>
  <c r="V66" i="15"/>
  <c r="X66" i="15" s="1"/>
  <c r="Z108" i="15"/>
  <c r="AA106" i="15"/>
  <c r="AD106" i="15"/>
  <c r="AE103" i="15" l="1"/>
  <c r="AF103" i="15"/>
  <c r="AB104" i="15" s="1"/>
  <c r="AG102" i="15"/>
  <c r="AD107" i="15"/>
  <c r="AA107" i="15"/>
  <c r="Z109" i="15"/>
  <c r="W66" i="15"/>
  <c r="T67" i="15" s="1"/>
  <c r="Z110" i="15" l="1"/>
  <c r="AD108" i="15"/>
  <c r="AA108" i="15"/>
  <c r="V67" i="15"/>
  <c r="X67" i="15" s="1"/>
  <c r="AE104" i="15"/>
  <c r="AF104" i="15" s="1"/>
  <c r="AB105" i="15" s="1"/>
  <c r="AG103" i="15"/>
  <c r="AE105" i="15" l="1"/>
  <c r="AF105" i="15"/>
  <c r="AB106" i="15" s="1"/>
  <c r="AG105" i="15"/>
  <c r="AG104" i="15"/>
  <c r="W67" i="15"/>
  <c r="T68" i="15" s="1"/>
  <c r="Z111" i="15"/>
  <c r="AA109" i="15"/>
  <c r="AD109" i="15"/>
  <c r="AD110" i="15" l="1"/>
  <c r="AA110" i="15"/>
  <c r="Z112" i="15"/>
  <c r="V68" i="15"/>
  <c r="X68" i="15" s="1"/>
  <c r="W68" i="15"/>
  <c r="T69" i="15" s="1"/>
  <c r="AE106" i="15"/>
  <c r="AF106" i="15" s="1"/>
  <c r="AB107" i="15" s="1"/>
  <c r="AE107" i="15" l="1"/>
  <c r="AF107" i="15" s="1"/>
  <c r="AB108" i="15" s="1"/>
  <c r="AG106" i="15"/>
  <c r="V69" i="15"/>
  <c r="W69" i="15"/>
  <c r="T70" i="15" s="1"/>
  <c r="Z113" i="15"/>
  <c r="AD111" i="15"/>
  <c r="AA111" i="15"/>
  <c r="AE108" i="15" l="1"/>
  <c r="AF108" i="15" s="1"/>
  <c r="AB109" i="15" s="1"/>
  <c r="AG107" i="15"/>
  <c r="AD112" i="15"/>
  <c r="Z114" i="15"/>
  <c r="AA112" i="15"/>
  <c r="V70" i="15"/>
  <c r="X70" i="15" s="1"/>
  <c r="X69" i="15"/>
  <c r="AE109" i="15" l="1"/>
  <c r="AF109" i="15" s="1"/>
  <c r="AB110" i="15" s="1"/>
  <c r="AG108" i="15"/>
  <c r="Z115" i="15"/>
  <c r="AA113" i="15"/>
  <c r="AD113" i="15"/>
  <c r="W70" i="15"/>
  <c r="T71" i="15" s="1"/>
  <c r="AE110" i="15" l="1"/>
  <c r="AF110" i="15" s="1"/>
  <c r="AB111" i="15" s="1"/>
  <c r="AG109" i="15"/>
  <c r="V71" i="15"/>
  <c r="W71" i="15"/>
  <c r="T72" i="15" s="1"/>
  <c r="AA114" i="15"/>
  <c r="AD114" i="15"/>
  <c r="Z116" i="15"/>
  <c r="AE111" i="15" l="1"/>
  <c r="AF111" i="15" s="1"/>
  <c r="AB112" i="15" s="1"/>
  <c r="AG110" i="15"/>
  <c r="AA115" i="15"/>
  <c r="AD115" i="15"/>
  <c r="Z117" i="15"/>
  <c r="V72" i="15"/>
  <c r="X72" i="15" s="1"/>
  <c r="W72" i="15"/>
  <c r="T73" i="15" s="1"/>
  <c r="X71" i="15"/>
  <c r="AE112" i="15" l="1"/>
  <c r="AF112" i="15" s="1"/>
  <c r="AB113" i="15" s="1"/>
  <c r="AG111" i="15"/>
  <c r="AA116" i="15"/>
  <c r="AD116" i="15"/>
  <c r="Z118" i="15"/>
  <c r="V73" i="15"/>
  <c r="W73" i="15"/>
  <c r="T74" i="15" s="1"/>
  <c r="AE113" i="15" l="1"/>
  <c r="AF113" i="15" s="1"/>
  <c r="AB114" i="15" s="1"/>
  <c r="AG112" i="15"/>
  <c r="V74" i="15"/>
  <c r="X74" i="15" s="1"/>
  <c r="W74" i="15"/>
  <c r="T75" i="15" s="1"/>
  <c r="X73" i="15"/>
  <c r="AD117" i="15"/>
  <c r="Z119" i="15"/>
  <c r="AA117" i="15"/>
  <c r="AE114" i="15" l="1"/>
  <c r="AF114" i="15"/>
  <c r="AB115" i="15" s="1"/>
  <c r="AG113" i="15"/>
  <c r="Z120" i="15"/>
  <c r="AA118" i="15"/>
  <c r="AD118" i="15"/>
  <c r="V75" i="15"/>
  <c r="W75" i="15"/>
  <c r="T76" i="15" s="1"/>
  <c r="V76" i="15" l="1"/>
  <c r="X76" i="15" s="1"/>
  <c r="X75" i="15"/>
  <c r="AA119" i="15"/>
  <c r="Z121" i="15"/>
  <c r="AD119" i="15"/>
  <c r="AE115" i="15"/>
  <c r="AF115" i="15" s="1"/>
  <c r="AB116" i="15" s="1"/>
  <c r="AG114" i="15"/>
  <c r="AE116" i="15" l="1"/>
  <c r="AF116" i="15" s="1"/>
  <c r="AB117" i="15" s="1"/>
  <c r="AG115" i="15"/>
  <c r="AA120" i="15"/>
  <c r="AD120" i="15"/>
  <c r="Z122" i="15"/>
  <c r="W76" i="15"/>
  <c r="T77" i="15" s="1"/>
  <c r="AE117" i="15" l="1"/>
  <c r="AF117" i="15"/>
  <c r="AB118" i="15" s="1"/>
  <c r="AG117" i="15"/>
  <c r="AG116" i="15"/>
  <c r="V77" i="15"/>
  <c r="X77" i="15" s="1"/>
  <c r="Z123" i="15"/>
  <c r="AD121" i="15"/>
  <c r="AA121" i="15"/>
  <c r="Z124" i="15" l="1"/>
  <c r="AD122" i="15"/>
  <c r="AA122" i="15"/>
  <c r="E8" i="15"/>
  <c r="H8" i="15" s="1"/>
  <c r="W77" i="15"/>
  <c r="T78" i="15" s="1"/>
  <c r="AE118" i="15"/>
  <c r="AF118" i="15" s="1"/>
  <c r="AB119" i="15" s="1"/>
  <c r="AE119" i="15" l="1"/>
  <c r="AF119" i="15" s="1"/>
  <c r="AB120" i="15" s="1"/>
  <c r="AG118" i="15"/>
  <c r="V78" i="15"/>
  <c r="X78" i="15" s="1"/>
  <c r="Z125" i="15"/>
  <c r="AD123" i="15"/>
  <c r="AA123" i="15"/>
  <c r="AE120" i="15" l="1"/>
  <c r="AF120" i="15" s="1"/>
  <c r="AB121" i="15" s="1"/>
  <c r="AG119" i="15"/>
  <c r="AA124" i="15"/>
  <c r="Z126" i="15"/>
  <c r="AD124" i="15"/>
  <c r="W78" i="15"/>
  <c r="T79" i="15" s="1"/>
  <c r="AE121" i="15" l="1"/>
  <c r="AF121" i="15" s="1"/>
  <c r="AB122" i="15" s="1"/>
  <c r="AG120" i="15"/>
  <c r="V79" i="15"/>
  <c r="X79" i="15" s="1"/>
  <c r="AD125" i="15"/>
  <c r="AA125" i="15"/>
  <c r="Z127" i="15"/>
  <c r="AE122" i="15" l="1"/>
  <c r="AF122" i="15" s="1"/>
  <c r="AB123" i="15" s="1"/>
  <c r="AG121" i="15"/>
  <c r="AD126" i="15"/>
  <c r="AA126" i="15"/>
  <c r="Z128" i="15"/>
  <c r="W79" i="15"/>
  <c r="T80" i="15" s="1"/>
  <c r="AE123" i="15" l="1"/>
  <c r="AF123" i="15"/>
  <c r="AB124" i="15" s="1"/>
  <c r="AG122" i="15"/>
  <c r="AD127" i="15"/>
  <c r="AA127" i="15"/>
  <c r="Z129" i="15"/>
  <c r="V80" i="15"/>
  <c r="X80" i="15" s="1"/>
  <c r="Z130" i="15" l="1"/>
  <c r="AD128" i="15"/>
  <c r="AA128" i="15"/>
  <c r="W80" i="15"/>
  <c r="T81" i="15" s="1"/>
  <c r="AE124" i="15"/>
  <c r="AF124" i="15" s="1"/>
  <c r="AB125" i="15" s="1"/>
  <c r="AG123" i="15"/>
  <c r="AE125" i="15" l="1"/>
  <c r="AF125" i="15"/>
  <c r="AB126" i="15" s="1"/>
  <c r="AG124" i="15"/>
  <c r="V81" i="15"/>
  <c r="Z131" i="15"/>
  <c r="AA129" i="15"/>
  <c r="AD129" i="15"/>
  <c r="AD130" i="15" l="1"/>
  <c r="AA130" i="15"/>
  <c r="Z132" i="15"/>
  <c r="X81" i="15"/>
  <c r="J18" i="14" s="1"/>
  <c r="J9" i="14"/>
  <c r="W81" i="15"/>
  <c r="T82" i="15" s="1"/>
  <c r="AE126" i="15"/>
  <c r="AF126" i="15"/>
  <c r="AB127" i="15" s="1"/>
  <c r="AG125" i="15"/>
  <c r="AE127" i="15" l="1"/>
  <c r="AF127" i="15" s="1"/>
  <c r="AB128" i="15" s="1"/>
  <c r="AG126" i="15"/>
  <c r="V82" i="15"/>
  <c r="AA131" i="15"/>
  <c r="Z133" i="15"/>
  <c r="AD131" i="15"/>
  <c r="AE128" i="15" l="1"/>
  <c r="AF128" i="15"/>
  <c r="AB129" i="15" s="1"/>
  <c r="AG128" i="15"/>
  <c r="AG127" i="15"/>
  <c r="Z134" i="15"/>
  <c r="AA132" i="15"/>
  <c r="AD132" i="15"/>
  <c r="X82" i="15"/>
  <c r="D9" i="14"/>
  <c r="G9" i="14"/>
  <c r="H9" i="14"/>
  <c r="I9" i="14"/>
  <c r="W82" i="15"/>
  <c r="D18" i="14" l="1"/>
  <c r="G18" i="14"/>
  <c r="H18" i="14"/>
  <c r="I18" i="14"/>
  <c r="AD133" i="15"/>
  <c r="AA133" i="15"/>
  <c r="Z135" i="15"/>
  <c r="AE129" i="15"/>
  <c r="AG129" i="15"/>
  <c r="AF129" i="15"/>
  <c r="AB130" i="15" s="1"/>
  <c r="AE130" i="15" l="1"/>
  <c r="AF130" i="15"/>
  <c r="AB131" i="15" s="1"/>
  <c r="AA134" i="15"/>
  <c r="AD134" i="15"/>
  <c r="Z136" i="15"/>
  <c r="AD135" i="15" l="1"/>
  <c r="Z137" i="15"/>
  <c r="AA135" i="15"/>
  <c r="AE131" i="15"/>
  <c r="AF131" i="15" s="1"/>
  <c r="AB132" i="15" s="1"/>
  <c r="AG130" i="15"/>
  <c r="AE132" i="15" l="1"/>
  <c r="AF132" i="15" s="1"/>
  <c r="AB133" i="15" s="1"/>
  <c r="AG131" i="15"/>
  <c r="Z138" i="15"/>
  <c r="AA136" i="15"/>
  <c r="AD136" i="15"/>
  <c r="AE133" i="15" l="1"/>
  <c r="AF133" i="15" s="1"/>
  <c r="AB134" i="15" s="1"/>
  <c r="AG132" i="15"/>
  <c r="AA137" i="15"/>
  <c r="AD137" i="15"/>
  <c r="Z139" i="15"/>
  <c r="AE134" i="15" l="1"/>
  <c r="AF134" i="15" s="1"/>
  <c r="AB135" i="15" s="1"/>
  <c r="AG133" i="15"/>
  <c r="AA138" i="15"/>
  <c r="Z140" i="15"/>
  <c r="AD138" i="15"/>
  <c r="AE135" i="15" l="1"/>
  <c r="AF135" i="15" s="1"/>
  <c r="AB136" i="15" s="1"/>
  <c r="AG134" i="15"/>
  <c r="AD139" i="15"/>
  <c r="Z141" i="15"/>
  <c r="AA139" i="15"/>
  <c r="AE136" i="15" l="1"/>
  <c r="AF136" i="15" s="1"/>
  <c r="AB137" i="15" s="1"/>
  <c r="AG135" i="15"/>
  <c r="AD140" i="15"/>
  <c r="Z142" i="15"/>
  <c r="AA140" i="15"/>
  <c r="AE137" i="15" l="1"/>
  <c r="AF137" i="15" s="1"/>
  <c r="AB138" i="15" s="1"/>
  <c r="AG136" i="15"/>
  <c r="Z143" i="15"/>
  <c r="AD141" i="15"/>
  <c r="AA141" i="15"/>
  <c r="AE138" i="15" l="1"/>
  <c r="AF138" i="15" s="1"/>
  <c r="AB139" i="15" s="1"/>
  <c r="AG137" i="15"/>
  <c r="Z144" i="15"/>
  <c r="AA142" i="15"/>
  <c r="AD142" i="15"/>
  <c r="AE139" i="15" l="1"/>
  <c r="AF139" i="15"/>
  <c r="AB140" i="15" s="1"/>
  <c r="AG138" i="15"/>
  <c r="Z145" i="15"/>
  <c r="AA143" i="15"/>
  <c r="AD143" i="15"/>
  <c r="Z146" i="15" l="1"/>
  <c r="AA144" i="15"/>
  <c r="AD144" i="15"/>
  <c r="AE140" i="15"/>
  <c r="AF140" i="15"/>
  <c r="AB141" i="15" s="1"/>
  <c r="AG139" i="15"/>
  <c r="AE141" i="15" l="1"/>
  <c r="AF141" i="15"/>
  <c r="AB142" i="15" s="1"/>
  <c r="AG140" i="15"/>
  <c r="AD145" i="15"/>
  <c r="Z147" i="15"/>
  <c r="AA145" i="15"/>
  <c r="Z148" i="15" l="1"/>
  <c r="AD146" i="15"/>
  <c r="AA146" i="15"/>
  <c r="AE142" i="15"/>
  <c r="AF142" i="15"/>
  <c r="AB143" i="15" s="1"/>
  <c r="AG141" i="15"/>
  <c r="AE143" i="15" l="1"/>
  <c r="AF143" i="15" s="1"/>
  <c r="AB144" i="15" s="1"/>
  <c r="AG142" i="15"/>
  <c r="AD147" i="15"/>
  <c r="Z149" i="15"/>
  <c r="AA147" i="15"/>
  <c r="AE144" i="15" l="1"/>
  <c r="AF144" i="15" s="1"/>
  <c r="AB145" i="15" s="1"/>
  <c r="AG143" i="15"/>
  <c r="AA148" i="15"/>
  <c r="Z150" i="15"/>
  <c r="AD148" i="15"/>
  <c r="AE145" i="15" l="1"/>
  <c r="AF145" i="15" s="1"/>
  <c r="AB146" i="15" s="1"/>
  <c r="AG144" i="15"/>
  <c r="Z151" i="15"/>
  <c r="AD149" i="15"/>
  <c r="AA149" i="15"/>
  <c r="AE146" i="15" l="1"/>
  <c r="AF146" i="15" s="1"/>
  <c r="AB147" i="15" s="1"/>
  <c r="AG145" i="15"/>
  <c r="Z152" i="15"/>
  <c r="AD150" i="15"/>
  <c r="AA150" i="15"/>
  <c r="AE147" i="15" l="1"/>
  <c r="AF147" i="15"/>
  <c r="AB148" i="15" s="1"/>
  <c r="AG147" i="15"/>
  <c r="AG146" i="15"/>
  <c r="Z153" i="15"/>
  <c r="AA151" i="15"/>
  <c r="AD151" i="15"/>
  <c r="AD152" i="15" l="1"/>
  <c r="AA152" i="15"/>
  <c r="Z154" i="15"/>
  <c r="AE148" i="15"/>
  <c r="AF148" i="15" s="1"/>
  <c r="AB149" i="15" s="1"/>
  <c r="AE149" i="15" l="1"/>
  <c r="AF149" i="15" s="1"/>
  <c r="AB150" i="15" s="1"/>
  <c r="AG148" i="15"/>
  <c r="AA153" i="15"/>
  <c r="AD153" i="15"/>
  <c r="Z155" i="15"/>
  <c r="AE150" i="15" l="1"/>
  <c r="AF150" i="15" s="1"/>
  <c r="AB151" i="15" s="1"/>
  <c r="AG149" i="15"/>
  <c r="AD154" i="15"/>
  <c r="AA154" i="15"/>
  <c r="Z156" i="15"/>
  <c r="AE151" i="15" l="1"/>
  <c r="AF151" i="15" s="1"/>
  <c r="AB152" i="15" s="1"/>
  <c r="AG150" i="15"/>
  <c r="Z157" i="15"/>
  <c r="AA155" i="15"/>
  <c r="AD155" i="15"/>
  <c r="AE152" i="15" l="1"/>
  <c r="AF152" i="15"/>
  <c r="AB153" i="15" s="1"/>
  <c r="AG151" i="15"/>
  <c r="AA156" i="15"/>
  <c r="AD156" i="15"/>
  <c r="Z158" i="15"/>
  <c r="AA157" i="15" l="1"/>
  <c r="Z159" i="15"/>
  <c r="AD157" i="15"/>
  <c r="AE153" i="15"/>
  <c r="AF153" i="15"/>
  <c r="AB154" i="15" s="1"/>
  <c r="AG153" i="15"/>
  <c r="AG152" i="15"/>
  <c r="AE154" i="15" l="1"/>
  <c r="AF154" i="15"/>
  <c r="AB155" i="15" s="1"/>
  <c r="AG154" i="15"/>
  <c r="AD158" i="15"/>
  <c r="Z160" i="15"/>
  <c r="AA158" i="15"/>
  <c r="Z161" i="15" l="1"/>
  <c r="AD159" i="15"/>
  <c r="AA159" i="15"/>
  <c r="AE155" i="15"/>
  <c r="AF155" i="15" s="1"/>
  <c r="AB156" i="15" s="1"/>
  <c r="AE156" i="15" l="1"/>
  <c r="AF156" i="15" s="1"/>
  <c r="AB157" i="15" s="1"/>
  <c r="AG155" i="15"/>
  <c r="AA160" i="15"/>
  <c r="AD160" i="15"/>
  <c r="Z162" i="15"/>
  <c r="AE157" i="15" l="1"/>
  <c r="AF157" i="15" s="1"/>
  <c r="AB158" i="15" s="1"/>
  <c r="AG156" i="15"/>
  <c r="AA161" i="15"/>
  <c r="AD161" i="15"/>
  <c r="Z163" i="15"/>
  <c r="AE158" i="15" l="1"/>
  <c r="AF158" i="15" s="1"/>
  <c r="AB159" i="15" s="1"/>
  <c r="AG157" i="15"/>
  <c r="Z164" i="15"/>
  <c r="AD162" i="15"/>
  <c r="AA162" i="15"/>
  <c r="AE159" i="15" l="1"/>
  <c r="AF159" i="15" s="1"/>
  <c r="AB160" i="15" s="1"/>
  <c r="AG158" i="15"/>
  <c r="AD163" i="15"/>
  <c r="Z165" i="15"/>
  <c r="AA163" i="15"/>
  <c r="AE160" i="15" l="1"/>
  <c r="AF160" i="15" s="1"/>
  <c r="AB161" i="15" s="1"/>
  <c r="AG159" i="15"/>
  <c r="AD164" i="15"/>
  <c r="AA164" i="15"/>
  <c r="Z166" i="15"/>
  <c r="AE161" i="15" l="1"/>
  <c r="AF161" i="15"/>
  <c r="AB162" i="15" s="1"/>
  <c r="AG160" i="15"/>
  <c r="AD165" i="15"/>
  <c r="AA165" i="15"/>
  <c r="Z167" i="15"/>
  <c r="Z168" i="15" l="1"/>
  <c r="AA166" i="15"/>
  <c r="AD166" i="15"/>
  <c r="AE162" i="15"/>
  <c r="AF162" i="15" s="1"/>
  <c r="AB163" i="15" s="1"/>
  <c r="AG161" i="15"/>
  <c r="AE163" i="15" l="1"/>
  <c r="AF163" i="15"/>
  <c r="AB164" i="15" s="1"/>
  <c r="AG162" i="15"/>
  <c r="Z169" i="15"/>
  <c r="AD167" i="15"/>
  <c r="AA167" i="15"/>
  <c r="AD168" i="15" l="1"/>
  <c r="AA168" i="15"/>
  <c r="Z170" i="15"/>
  <c r="AE164" i="15"/>
  <c r="AF164" i="15"/>
  <c r="AB165" i="15" s="1"/>
  <c r="AG163" i="15"/>
  <c r="AE165" i="15" l="1"/>
  <c r="AF165" i="15" s="1"/>
  <c r="AB166" i="15" s="1"/>
  <c r="AG164" i="15"/>
  <c r="AA169" i="15"/>
  <c r="AD169" i="15"/>
  <c r="Z171" i="15"/>
  <c r="AE166" i="15" l="1"/>
  <c r="AF166" i="15"/>
  <c r="AB167" i="15" s="1"/>
  <c r="AG165" i="15"/>
  <c r="AD170" i="15"/>
  <c r="Z172" i="15"/>
  <c r="AA170" i="15"/>
  <c r="AD171" i="15" l="1"/>
  <c r="Z173" i="15"/>
  <c r="AA171" i="15"/>
  <c r="AE167" i="15"/>
  <c r="AF167" i="15"/>
  <c r="AB168" i="15" s="1"/>
  <c r="AG167" i="15" s="1"/>
  <c r="AG166" i="15"/>
  <c r="AE168" i="15" l="1"/>
  <c r="AF168" i="15" s="1"/>
  <c r="AB169" i="15" s="1"/>
  <c r="AD172" i="15"/>
  <c r="AA172" i="15"/>
  <c r="Z174" i="15"/>
  <c r="AE169" i="15" l="1"/>
  <c r="AF169" i="15" s="1"/>
  <c r="AB170" i="15" s="1"/>
  <c r="AG168" i="15"/>
  <c r="Z175" i="15"/>
  <c r="AA173" i="15"/>
  <c r="AD173" i="15"/>
  <c r="AE170" i="15" l="1"/>
  <c r="AF170" i="15" s="1"/>
  <c r="AB171" i="15" s="1"/>
  <c r="AG169" i="15"/>
  <c r="AA174" i="15"/>
  <c r="Z176" i="15"/>
  <c r="AD174" i="15"/>
  <c r="AE171" i="15" l="1"/>
  <c r="AF171" i="15"/>
  <c r="AB172" i="15" s="1"/>
  <c r="AG171" i="15"/>
  <c r="AG170" i="15"/>
  <c r="Z177" i="15"/>
  <c r="AD175" i="15"/>
  <c r="AA175" i="15"/>
  <c r="AD176" i="15" l="1"/>
  <c r="Z178" i="15"/>
  <c r="AA176" i="15"/>
  <c r="AE172" i="15"/>
  <c r="AF172" i="15" s="1"/>
  <c r="AB173" i="15" s="1"/>
  <c r="AE173" i="15" l="1"/>
  <c r="AF173" i="15"/>
  <c r="AB174" i="15" s="1"/>
  <c r="AG173" i="15"/>
  <c r="AG172" i="15"/>
  <c r="Z179" i="15"/>
  <c r="AD177" i="15"/>
  <c r="AA177" i="15"/>
  <c r="AD178" i="15" l="1"/>
  <c r="AA178" i="15"/>
  <c r="Z180" i="15"/>
  <c r="AE174" i="15"/>
  <c r="AF174" i="15" s="1"/>
  <c r="AB175" i="15" s="1"/>
  <c r="AE175" i="15" l="1"/>
  <c r="AF175" i="15"/>
  <c r="AB176" i="15" s="1"/>
  <c r="AG175" i="15"/>
  <c r="AG174" i="15"/>
  <c r="Z181" i="15"/>
  <c r="AA179" i="15"/>
  <c r="AD179" i="15"/>
  <c r="AD180" i="15" l="1"/>
  <c r="AA180" i="15"/>
  <c r="Z182" i="15"/>
  <c r="AE176" i="15"/>
  <c r="AF176" i="15" s="1"/>
  <c r="AB177" i="15" s="1"/>
  <c r="AE177" i="15" l="1"/>
  <c r="AF177" i="15"/>
  <c r="AB178" i="15" s="1"/>
  <c r="AG176" i="15"/>
  <c r="AD181" i="15"/>
  <c r="AA181" i="15"/>
  <c r="Z183" i="15"/>
  <c r="Z184" i="15" l="1"/>
  <c r="AD182" i="15"/>
  <c r="AA182" i="15"/>
  <c r="AE178" i="15"/>
  <c r="AF178" i="15" s="1"/>
  <c r="AB179" i="15" s="1"/>
  <c r="AG177" i="15"/>
  <c r="AE179" i="15" l="1"/>
  <c r="AF179" i="15"/>
  <c r="AB180" i="15" s="1"/>
  <c r="AG178" i="15"/>
  <c r="Z185" i="15"/>
  <c r="AA183" i="15"/>
  <c r="AD183" i="15"/>
  <c r="AA184" i="15" l="1"/>
  <c r="AD184" i="15"/>
  <c r="Z186" i="15"/>
  <c r="AE180" i="15"/>
  <c r="AF180" i="15"/>
  <c r="AB181" i="15" s="1"/>
  <c r="AG179" i="15"/>
  <c r="AE181" i="15" l="1"/>
  <c r="AF181" i="15" s="1"/>
  <c r="AB182" i="15" s="1"/>
  <c r="AG180" i="15"/>
  <c r="AA185" i="15"/>
  <c r="Z187" i="15"/>
  <c r="AD185" i="15"/>
  <c r="AE182" i="15" l="1"/>
  <c r="AF182" i="15" s="1"/>
  <c r="AB183" i="15" s="1"/>
  <c r="AG181" i="15"/>
  <c r="AD186" i="15"/>
  <c r="Z188" i="15"/>
  <c r="AA186" i="15"/>
  <c r="AE183" i="15" l="1"/>
  <c r="AF183" i="15" s="1"/>
  <c r="AB184" i="15" s="1"/>
  <c r="AG182" i="15"/>
  <c r="AD187" i="15"/>
  <c r="Z189" i="15"/>
  <c r="AA187" i="15"/>
  <c r="AE184" i="15" l="1"/>
  <c r="AF184" i="15" s="1"/>
  <c r="AB185" i="15" s="1"/>
  <c r="AG183" i="15"/>
  <c r="AD188" i="15"/>
  <c r="AA188" i="15"/>
  <c r="Z190" i="15"/>
  <c r="AE185" i="15" l="1"/>
  <c r="AF185" i="15" s="1"/>
  <c r="AB186" i="15" s="1"/>
  <c r="AG184" i="15"/>
  <c r="Z191" i="15"/>
  <c r="AD189" i="15"/>
  <c r="AA189" i="15"/>
  <c r="AE186" i="15" l="1"/>
  <c r="AF186" i="15" s="1"/>
  <c r="AB187" i="15" s="1"/>
  <c r="AG185" i="15"/>
  <c r="AA190" i="15"/>
  <c r="Z192" i="15"/>
  <c r="AD190" i="15"/>
  <c r="AE187" i="15" l="1"/>
  <c r="AF187" i="15" s="1"/>
  <c r="AB188" i="15" s="1"/>
  <c r="AG186" i="15"/>
  <c r="AD191" i="15"/>
  <c r="Z193" i="15"/>
  <c r="AA191" i="15"/>
  <c r="AE188" i="15" l="1"/>
  <c r="AF188" i="15" s="1"/>
  <c r="AB189" i="15" s="1"/>
  <c r="AG187" i="15"/>
  <c r="AD192" i="15"/>
  <c r="AA192" i="15"/>
  <c r="Z194" i="15"/>
  <c r="AE189" i="15" l="1"/>
  <c r="AF189" i="15"/>
  <c r="AB190" i="15" s="1"/>
  <c r="AG188" i="15"/>
  <c r="AA193" i="15"/>
  <c r="Z195" i="15"/>
  <c r="AD193" i="15"/>
  <c r="Z196" i="15" l="1"/>
  <c r="AD194" i="15"/>
  <c r="AA194" i="15"/>
  <c r="AE190" i="15"/>
  <c r="AF190" i="15"/>
  <c r="AB191" i="15" s="1"/>
  <c r="AG190" i="15" s="1"/>
  <c r="AG189" i="15"/>
  <c r="AE191" i="15" l="1"/>
  <c r="AF191" i="15" s="1"/>
  <c r="AB192" i="15" s="1"/>
  <c r="AD195" i="15"/>
  <c r="AA195" i="15"/>
  <c r="Z197" i="15"/>
  <c r="AE192" i="15" l="1"/>
  <c r="AF192" i="15" s="1"/>
  <c r="AB193" i="15" s="1"/>
  <c r="AG191" i="15"/>
  <c r="AD196" i="15"/>
  <c r="AA196" i="15"/>
  <c r="Z198" i="15"/>
  <c r="AE193" i="15" l="1"/>
  <c r="AF193" i="15" s="1"/>
  <c r="AB194" i="15" s="1"/>
  <c r="AG192" i="15"/>
  <c r="AA197" i="15"/>
  <c r="AD197" i="15"/>
  <c r="Z199" i="15"/>
  <c r="AE194" i="15" l="1"/>
  <c r="AF194" i="15" s="1"/>
  <c r="AB195" i="15" s="1"/>
  <c r="AG193" i="15"/>
  <c r="Z200" i="15"/>
  <c r="AD198" i="15"/>
  <c r="AA198" i="15"/>
  <c r="AE195" i="15" l="1"/>
  <c r="AF195" i="15" s="1"/>
  <c r="AB196" i="15" s="1"/>
  <c r="AG194" i="15"/>
  <c r="Z201" i="15"/>
  <c r="AD199" i="15"/>
  <c r="AA199" i="15"/>
  <c r="AE196" i="15" l="1"/>
  <c r="AF196" i="15" s="1"/>
  <c r="AB197" i="15" s="1"/>
  <c r="AG195" i="15"/>
  <c r="AA200" i="15"/>
  <c r="Z202" i="15"/>
  <c r="AD200" i="15"/>
  <c r="AE197" i="15" l="1"/>
  <c r="AF197" i="15"/>
  <c r="AB198" i="15" s="1"/>
  <c r="AG196" i="15"/>
  <c r="AD201" i="15"/>
  <c r="AA201" i="15"/>
  <c r="Z203" i="15"/>
  <c r="AA202" i="15" l="1"/>
  <c r="Z204" i="15"/>
  <c r="AD202" i="15"/>
  <c r="AE198" i="15"/>
  <c r="AF198" i="15" s="1"/>
  <c r="AB199" i="15" s="1"/>
  <c r="AG197" i="15"/>
  <c r="AE199" i="15" l="1"/>
  <c r="AF199" i="15" s="1"/>
  <c r="AB200" i="15" s="1"/>
  <c r="AG198" i="15"/>
  <c r="AA203" i="15"/>
  <c r="Z205" i="15"/>
  <c r="AD203" i="15"/>
  <c r="AE200" i="15" l="1"/>
  <c r="AF200" i="15" s="1"/>
  <c r="AB201" i="15" s="1"/>
  <c r="AG199" i="15"/>
  <c r="AA204" i="15"/>
  <c r="Z206" i="15"/>
  <c r="AD204" i="15"/>
  <c r="AE201" i="15" l="1"/>
  <c r="AF201" i="15" s="1"/>
  <c r="AB202" i="15" s="1"/>
  <c r="AG200" i="15"/>
  <c r="AD205" i="15"/>
  <c r="Z207" i="15"/>
  <c r="AA205" i="15"/>
  <c r="AE202" i="15" l="1"/>
  <c r="AF202" i="15" s="1"/>
  <c r="AB203" i="15" s="1"/>
  <c r="AG201" i="15"/>
  <c r="Z208" i="15"/>
  <c r="AA206" i="15"/>
  <c r="AD206" i="15"/>
  <c r="AE203" i="15" l="1"/>
  <c r="AF203" i="15"/>
  <c r="AB204" i="15" s="1"/>
  <c r="AG202" i="15"/>
  <c r="Z209" i="15"/>
  <c r="AD207" i="15"/>
  <c r="AA207" i="15"/>
  <c r="AA208" i="15" l="1"/>
  <c r="Z210" i="15"/>
  <c r="AD208" i="15"/>
  <c r="AE204" i="15"/>
  <c r="AF204" i="15" s="1"/>
  <c r="AB205" i="15" s="1"/>
  <c r="AG203" i="15"/>
  <c r="AE205" i="15" l="1"/>
  <c r="AF205" i="15"/>
  <c r="AB206" i="15" s="1"/>
  <c r="AG204" i="15"/>
  <c r="AA209" i="15"/>
  <c r="AD209" i="15"/>
  <c r="Z211" i="15"/>
  <c r="AE206" i="15" l="1"/>
  <c r="AF206" i="15" s="1"/>
  <c r="AB207" i="15" s="1"/>
  <c r="AA210" i="15"/>
  <c r="Z212" i="15"/>
  <c r="AD210" i="15"/>
  <c r="AG205" i="15"/>
  <c r="AE207" i="15" l="1"/>
  <c r="AF207" i="15" s="1"/>
  <c r="AB208" i="15" s="1"/>
  <c r="AG206" i="15"/>
  <c r="Z213" i="15"/>
  <c r="AD211" i="15"/>
  <c r="AA211" i="15"/>
  <c r="AE208" i="15" l="1"/>
  <c r="AF208" i="15" s="1"/>
  <c r="AB209" i="15" s="1"/>
  <c r="AG207" i="15"/>
  <c r="Z214" i="15"/>
  <c r="AA212" i="15"/>
  <c r="AD212" i="15"/>
  <c r="AE209" i="15" l="1"/>
  <c r="AF209" i="15" s="1"/>
  <c r="AB210" i="15" s="1"/>
  <c r="AG208" i="15"/>
  <c r="Z215" i="15"/>
  <c r="AA213" i="15"/>
  <c r="AD213" i="15"/>
  <c r="AE210" i="15" l="1"/>
  <c r="AF210" i="15" s="1"/>
  <c r="AB211" i="15" s="1"/>
  <c r="AG209" i="15"/>
  <c r="Z216" i="15"/>
  <c r="AD214" i="15"/>
  <c r="AA214" i="15"/>
  <c r="AE211" i="15" l="1"/>
  <c r="AF211" i="15" s="1"/>
  <c r="AB212" i="15" s="1"/>
  <c r="AG210" i="15"/>
  <c r="AD215" i="15"/>
  <c r="AA215" i="15"/>
  <c r="Z217" i="15"/>
  <c r="AE212" i="15" l="1"/>
  <c r="AF212" i="15" s="1"/>
  <c r="AB213" i="15" s="1"/>
  <c r="AG211" i="15"/>
  <c r="Z218" i="15"/>
  <c r="AD216" i="15"/>
  <c r="AA216" i="15"/>
  <c r="AE213" i="15" l="1"/>
  <c r="AF213" i="15"/>
  <c r="AB214" i="15" s="1"/>
  <c r="AG212" i="15"/>
  <c r="Z219" i="15"/>
  <c r="AD217" i="15"/>
  <c r="AA217" i="15"/>
  <c r="AA218" i="15" l="1"/>
  <c r="Z220" i="15"/>
  <c r="AD218" i="15"/>
  <c r="AE214" i="15"/>
  <c r="AF214" i="15" s="1"/>
  <c r="AB215" i="15" s="1"/>
  <c r="AG213" i="15"/>
  <c r="AE215" i="15" l="1"/>
  <c r="AF215" i="15" s="1"/>
  <c r="AB216" i="15" s="1"/>
  <c r="AG214" i="15"/>
  <c r="AA219" i="15"/>
  <c r="AD219" i="15"/>
  <c r="Z221" i="15"/>
  <c r="AE216" i="15" l="1"/>
  <c r="AF216" i="15" s="1"/>
  <c r="AB217" i="15" s="1"/>
  <c r="AG215" i="15"/>
  <c r="AA220" i="15"/>
  <c r="Z222" i="15"/>
  <c r="AD220" i="15"/>
  <c r="AE217" i="15" l="1"/>
  <c r="AF217" i="15" s="1"/>
  <c r="AB218" i="15" s="1"/>
  <c r="AG216" i="15"/>
  <c r="AD221" i="15"/>
  <c r="Z223" i="15"/>
  <c r="AA221" i="15"/>
  <c r="AE218" i="15" l="1"/>
  <c r="AF218" i="15" s="1"/>
  <c r="AB219" i="15" s="1"/>
  <c r="AG217" i="15"/>
  <c r="Z224" i="15"/>
  <c r="AA222" i="15"/>
  <c r="AD222" i="15"/>
  <c r="AE219" i="15" l="1"/>
  <c r="AF219" i="15" s="1"/>
  <c r="AB220" i="15" s="1"/>
  <c r="AG218" i="15"/>
  <c r="AD223" i="15"/>
  <c r="AA223" i="15"/>
  <c r="Z225" i="15"/>
  <c r="AE220" i="15" l="1"/>
  <c r="AF220" i="15" s="1"/>
  <c r="AB221" i="15" s="1"/>
  <c r="AG219" i="15"/>
  <c r="Z226" i="15"/>
  <c r="AD224" i="15"/>
  <c r="AA224" i="15"/>
  <c r="AE221" i="15" l="1"/>
  <c r="AF221" i="15" s="1"/>
  <c r="AB222" i="15" s="1"/>
  <c r="AG220" i="15"/>
  <c r="AD225" i="15"/>
  <c r="AA225" i="15"/>
  <c r="Z227" i="15"/>
  <c r="AE222" i="15" l="1"/>
  <c r="AF222" i="15" s="1"/>
  <c r="AB223" i="15" s="1"/>
  <c r="AG221" i="15"/>
  <c r="AA226" i="15"/>
  <c r="AD226" i="15"/>
  <c r="Z228" i="15"/>
  <c r="AE223" i="15" l="1"/>
  <c r="AF223" i="15" s="1"/>
  <c r="AB224" i="15" s="1"/>
  <c r="AG222" i="15"/>
  <c r="AD227" i="15"/>
  <c r="Z229" i="15"/>
  <c r="AA227" i="15"/>
  <c r="AE224" i="15" l="1"/>
  <c r="AF224" i="15"/>
  <c r="AB225" i="15" s="1"/>
  <c r="AG223" i="15"/>
  <c r="AD228" i="15"/>
  <c r="Z230" i="15"/>
  <c r="AA228" i="15"/>
  <c r="AD229" i="15" l="1"/>
  <c r="Z231" i="15"/>
  <c r="AA229" i="15"/>
  <c r="AE225" i="15"/>
  <c r="AF225" i="15" s="1"/>
  <c r="AB226" i="15" s="1"/>
  <c r="AG224" i="15"/>
  <c r="AE226" i="15" l="1"/>
  <c r="AF226" i="15"/>
  <c r="AB227" i="15" s="1"/>
  <c r="AG226" i="15"/>
  <c r="AG225" i="15"/>
  <c r="Z232" i="15"/>
  <c r="AD230" i="15"/>
  <c r="AA230" i="15"/>
  <c r="AD231" i="15" l="1"/>
  <c r="AA231" i="15"/>
  <c r="Z233" i="15"/>
  <c r="AE227" i="15"/>
  <c r="AF227" i="15"/>
  <c r="AB228" i="15" s="1"/>
  <c r="AE228" i="15" l="1"/>
  <c r="AF228" i="15" s="1"/>
  <c r="AB229" i="15" s="1"/>
  <c r="AG227" i="15"/>
  <c r="AA232" i="15"/>
  <c r="AD232" i="15"/>
  <c r="Z234" i="15"/>
  <c r="AE229" i="15" l="1"/>
  <c r="AF229" i="15" s="1"/>
  <c r="AB230" i="15" s="1"/>
  <c r="AG228" i="15"/>
  <c r="AA233" i="15"/>
  <c r="Z235" i="15"/>
  <c r="AD233" i="15"/>
  <c r="AE230" i="15" l="1"/>
  <c r="AF230" i="15"/>
  <c r="AB231" i="15" s="1"/>
  <c r="AG229" i="15"/>
  <c r="Z236" i="15"/>
  <c r="AD234" i="15"/>
  <c r="AA234" i="15"/>
  <c r="AD235" i="15" l="1"/>
  <c r="AA235" i="15"/>
  <c r="Z237" i="15"/>
  <c r="AE231" i="15"/>
  <c r="AF231" i="15"/>
  <c r="AB232" i="15" s="1"/>
  <c r="AG230" i="15"/>
  <c r="AE232" i="15" l="1"/>
  <c r="AF232" i="15" s="1"/>
  <c r="AB233" i="15" s="1"/>
  <c r="AG231" i="15"/>
  <c r="AA236" i="15"/>
  <c r="AD236" i="15"/>
  <c r="Z238" i="15"/>
  <c r="AE233" i="15" l="1"/>
  <c r="AF233" i="15" s="1"/>
  <c r="AB234" i="15" s="1"/>
  <c r="AG232" i="15"/>
  <c r="AD237" i="15"/>
  <c r="Z239" i="15"/>
  <c r="AA237" i="15"/>
  <c r="AE234" i="15" l="1"/>
  <c r="AF234" i="15" s="1"/>
  <c r="AB235" i="15" s="1"/>
  <c r="AG233" i="15"/>
  <c r="AD238" i="15"/>
  <c r="Z240" i="15"/>
  <c r="AA238" i="15"/>
  <c r="AE235" i="15" l="1"/>
  <c r="AF235" i="15"/>
  <c r="AB236" i="15" s="1"/>
  <c r="AG234" i="15"/>
  <c r="AA239" i="15"/>
  <c r="Z241" i="15"/>
  <c r="AD239" i="15"/>
  <c r="AD240" i="15" l="1"/>
  <c r="Z242" i="15"/>
  <c r="AA240" i="15"/>
  <c r="AE236" i="15"/>
  <c r="AF236" i="15" s="1"/>
  <c r="AB237" i="15" s="1"/>
  <c r="AG235" i="15"/>
  <c r="AE237" i="15" l="1"/>
  <c r="AF237" i="15"/>
  <c r="AB238" i="15" s="1"/>
  <c r="AG236" i="15"/>
  <c r="Z243" i="15"/>
  <c r="AA241" i="15"/>
  <c r="E11" i="15" s="1"/>
  <c r="H11" i="15" s="1"/>
  <c r="AD241" i="15"/>
  <c r="AD242" i="15" l="1"/>
  <c r="AA242" i="15"/>
  <c r="AE238" i="15"/>
  <c r="AF238" i="15" s="1"/>
  <c r="AB239" i="15" s="1"/>
  <c r="AG237" i="15"/>
  <c r="AE239" i="15" l="1"/>
  <c r="AF239" i="15" s="1"/>
  <c r="AB240" i="15" s="1"/>
  <c r="AG238" i="15"/>
  <c r="F10" i="14"/>
  <c r="H19" i="14"/>
  <c r="H23" i="14" s="1"/>
  <c r="G19" i="14"/>
  <c r="G23" i="14" s="1"/>
  <c r="K19" i="14"/>
  <c r="K23" i="14" s="1"/>
  <c r="I19" i="14"/>
  <c r="I23" i="14" s="1"/>
  <c r="I10" i="14"/>
  <c r="J19" i="14"/>
  <c r="J23" i="14" s="1"/>
  <c r="H10" i="14"/>
  <c r="J10" i="14"/>
  <c r="K10" i="14"/>
  <c r="E10" i="14"/>
  <c r="E19" i="14"/>
  <c r="E23" i="14" s="1"/>
  <c r="G10" i="14"/>
  <c r="F19" i="14"/>
  <c r="F23" i="14" s="1"/>
  <c r="AE240" i="15" l="1"/>
  <c r="AF240" i="15"/>
  <c r="AB241" i="15" s="1"/>
  <c r="AG239" i="15"/>
  <c r="I14" i="14"/>
  <c r="I27" i="14" s="1"/>
  <c r="I15" i="14"/>
  <c r="I29" i="14" s="1"/>
  <c r="F28" i="14"/>
  <c r="I28" i="14"/>
  <c r="G14" i="14"/>
  <c r="G27" i="14" s="1"/>
  <c r="G15" i="14"/>
  <c r="G29" i="14" s="1"/>
  <c r="H14" i="14"/>
  <c r="H27" i="14" s="1"/>
  <c r="H15" i="14"/>
  <c r="H29" i="14" s="1"/>
  <c r="E14" i="14"/>
  <c r="E27" i="14" s="1"/>
  <c r="E15" i="14"/>
  <c r="E29" i="14" s="1"/>
  <c r="G28" i="14"/>
  <c r="K14" i="14"/>
  <c r="K27" i="14" s="1"/>
  <c r="K15" i="14"/>
  <c r="K29" i="14" s="1"/>
  <c r="H28" i="14"/>
  <c r="J15" i="14"/>
  <c r="J29" i="14" s="1"/>
  <c r="J14" i="14"/>
  <c r="J27" i="14" s="1"/>
  <c r="F14" i="14"/>
  <c r="F27" i="14" s="1"/>
  <c r="F15" i="14"/>
  <c r="F29" i="14" s="1"/>
  <c r="E35" i="14" l="1"/>
  <c r="E37" i="14" s="1"/>
  <c r="E39" i="14" s="1"/>
  <c r="G35" i="14"/>
  <c r="G37" i="14" s="1"/>
  <c r="G39" i="14" s="1"/>
  <c r="G31" i="14"/>
  <c r="G34" i="14" s="1"/>
  <c r="J35" i="14"/>
  <c r="J37" i="14" s="1"/>
  <c r="J39" i="14" s="1"/>
  <c r="J31" i="14"/>
  <c r="J34" i="14" s="1"/>
  <c r="K35" i="14"/>
  <c r="K37" i="14" s="1"/>
  <c r="K39" i="14" s="1"/>
  <c r="K31" i="14"/>
  <c r="K34" i="14" s="1"/>
  <c r="I35" i="14"/>
  <c r="I37" i="14" s="1"/>
  <c r="I39" i="14" s="1"/>
  <c r="I31" i="14"/>
  <c r="I34" i="14" s="1"/>
  <c r="E28" i="14"/>
  <c r="H35" i="14"/>
  <c r="H37" i="14" s="1"/>
  <c r="H39" i="14" s="1"/>
  <c r="H31" i="14"/>
  <c r="H34" i="14" s="1"/>
  <c r="K28" i="14"/>
  <c r="J28" i="14"/>
  <c r="AE241" i="15"/>
  <c r="AF241" i="15" s="1"/>
  <c r="AB242" i="15" s="1"/>
  <c r="AG240" i="15"/>
  <c r="F31" i="14"/>
  <c r="F34" i="14" s="1"/>
  <c r="F35" i="14"/>
  <c r="F37" i="14" s="1"/>
  <c r="F39" i="14" s="1"/>
  <c r="AE242" i="15" l="1"/>
  <c r="AF242" i="15" s="1"/>
  <c r="AB243" i="15" s="1"/>
  <c r="AG241" i="15"/>
  <c r="I56" i="14"/>
  <c r="I60" i="14"/>
  <c r="I68" i="14"/>
  <c r="J56" i="14"/>
  <c r="J68" i="14"/>
  <c r="J60" i="14"/>
  <c r="F60" i="14"/>
  <c r="F56" i="14"/>
  <c r="F68" i="14"/>
  <c r="H60" i="14"/>
  <c r="H68" i="14"/>
  <c r="H56" i="14"/>
  <c r="K56" i="14"/>
  <c r="K68" i="14"/>
  <c r="K60" i="14"/>
  <c r="G56" i="14"/>
  <c r="G68" i="14"/>
  <c r="G60" i="14"/>
  <c r="AE243" i="15" l="1"/>
  <c r="D10" i="14" s="1"/>
  <c r="AG242" i="15"/>
  <c r="D19" i="14" s="1"/>
  <c r="D23" i="14" s="1"/>
  <c r="D15" i="14" l="1"/>
  <c r="D29" i="14" s="1"/>
  <c r="D14" i="14"/>
  <c r="D27" i="14" s="1"/>
  <c r="AF243" i="15"/>
  <c r="D35" i="14" l="1"/>
  <c r="D37" i="14" s="1"/>
  <c r="D31" i="14"/>
  <c r="E30" i="14"/>
  <c r="E31" i="14" s="1"/>
  <c r="E34" i="14" s="1"/>
  <c r="D28" i="14"/>
  <c r="E60" i="14" l="1"/>
  <c r="E56" i="14"/>
  <c r="E68" i="14"/>
  <c r="D42" i="14"/>
  <c r="D43" i="14" s="1"/>
  <c r="D62" i="14" l="1"/>
  <c r="D70" i="14" s="1"/>
  <c r="E43" i="14"/>
  <c r="D69" i="14"/>
  <c r="D72" i="14" s="1"/>
  <c r="D74" i="14" s="1"/>
  <c r="D61" i="14"/>
  <c r="D64" i="14" s="1"/>
  <c r="D67" i="14" s="1"/>
  <c r="D57" i="14"/>
  <c r="D59" i="14" s="1"/>
  <c r="E62" i="14" l="1"/>
  <c r="E44" i="14"/>
  <c r="F43" i="14"/>
  <c r="G43" i="14"/>
  <c r="G62" i="14" l="1"/>
  <c r="G44" i="14"/>
  <c r="H43" i="14"/>
  <c r="F62" i="14"/>
  <c r="F44" i="14"/>
  <c r="E63" i="14"/>
  <c r="E71" i="14"/>
  <c r="E58" i="14"/>
  <c r="E59" i="14" s="1"/>
  <c r="E70" i="14"/>
  <c r="E72" i="14" s="1"/>
  <c r="E74" i="14" s="1"/>
  <c r="E64" i="14"/>
  <c r="E67" i="14" s="1"/>
  <c r="F70" i="14" l="1"/>
  <c r="H62" i="14"/>
  <c r="H44" i="14"/>
  <c r="I43" i="14"/>
  <c r="G71" i="14"/>
  <c r="G63" i="14"/>
  <c r="G58" i="14"/>
  <c r="G59" i="14" s="1"/>
  <c r="F71" i="14"/>
  <c r="F63" i="14"/>
  <c r="F64" i="14" s="1"/>
  <c r="F67" i="14" s="1"/>
  <c r="F58" i="14"/>
  <c r="F59" i="14" s="1"/>
  <c r="G70" i="14"/>
  <c r="G72" i="14" s="1"/>
  <c r="G74" i="14" s="1"/>
  <c r="G64" i="14"/>
  <c r="G67" i="14" s="1"/>
  <c r="I62" i="14" l="1"/>
  <c r="I44" i="14"/>
  <c r="J43" i="14"/>
  <c r="H71" i="14"/>
  <c r="H63" i="14"/>
  <c r="H58" i="14"/>
  <c r="H59" i="14" s="1"/>
  <c r="H70" i="14"/>
  <c r="H72" i="14" s="1"/>
  <c r="H74" i="14" s="1"/>
  <c r="H64" i="14"/>
  <c r="H67" i="14" s="1"/>
  <c r="F72" i="14"/>
  <c r="F74" i="14" s="1"/>
  <c r="J62" i="14" l="1"/>
  <c r="J44" i="14"/>
  <c r="K43" i="14"/>
  <c r="I58" i="14"/>
  <c r="I59" i="14" s="1"/>
  <c r="I63" i="14"/>
  <c r="I71" i="14"/>
  <c r="I70" i="14"/>
  <c r="I72" i="14" s="1"/>
  <c r="I74" i="14" s="1"/>
  <c r="I64" i="14"/>
  <c r="I67" i="14" s="1"/>
  <c r="K62" i="14" l="1"/>
  <c r="K44" i="14"/>
  <c r="J63" i="14"/>
  <c r="J71" i="14"/>
  <c r="J58" i="14"/>
  <c r="J59" i="14" s="1"/>
  <c r="J70" i="14"/>
  <c r="J72" i="14" s="1"/>
  <c r="J74" i="14" s="1"/>
  <c r="J64" i="14"/>
  <c r="J67" i="14" s="1"/>
  <c r="K71" i="14" l="1"/>
  <c r="K58" i="14"/>
  <c r="K59" i="14" s="1"/>
  <c r="K63" i="14"/>
  <c r="K70" i="14"/>
  <c r="K72" i="14" s="1"/>
  <c r="K74" i="14" s="1"/>
  <c r="K64" i="14"/>
  <c r="K67" i="14" s="1"/>
</calcChain>
</file>

<file path=xl/sharedStrings.xml><?xml version="1.0" encoding="utf-8"?>
<sst xmlns="http://schemas.openxmlformats.org/spreadsheetml/2006/main" count="180" uniqueCount="119">
  <si>
    <t>Year</t>
  </si>
  <si>
    <t>Lettuce</t>
  </si>
  <si>
    <t>Total</t>
  </si>
  <si>
    <t>BIPAH</t>
  </si>
  <si>
    <t>FCL</t>
  </si>
  <si>
    <t>TOTAL</t>
  </si>
  <si>
    <t>EB</t>
  </si>
  <si>
    <t>JS</t>
  </si>
  <si>
    <t>JJB</t>
  </si>
  <si>
    <t>Int</t>
  </si>
  <si>
    <t>Pmt</t>
  </si>
  <si>
    <t>Month</t>
  </si>
  <si>
    <t>Model used for Resolution dated in October 2025</t>
  </si>
  <si>
    <t>Fed</t>
  </si>
  <si>
    <t>$4.6m now/ $275k/yr</t>
  </si>
  <si>
    <t>HI</t>
  </si>
  <si>
    <t>$1.8m/yr</t>
  </si>
  <si>
    <t>TABLE A</t>
  </si>
  <si>
    <t>Revenue</t>
  </si>
  <si>
    <t>Operating Exp</t>
  </si>
  <si>
    <t>EBITDA</t>
  </si>
  <si>
    <t>Interest Exp</t>
  </si>
  <si>
    <t xml:space="preserve">   AgCredit</t>
  </si>
  <si>
    <t xml:space="preserve">   FCL</t>
  </si>
  <si>
    <t xml:space="preserve">   BIPAH</t>
  </si>
  <si>
    <t xml:space="preserve">   JJB</t>
  </si>
  <si>
    <t xml:space="preserve">   JJB-solar</t>
  </si>
  <si>
    <t xml:space="preserve">   JJB-downpayment</t>
  </si>
  <si>
    <t>Taxable Income</t>
  </si>
  <si>
    <t>Principal Due</t>
  </si>
  <si>
    <t>NMTC Incoming Funding</t>
  </si>
  <si>
    <t>Excess A/R C/F</t>
  </si>
  <si>
    <t>Bank Balance / Capital Spend</t>
  </si>
  <si>
    <t>Debt Service (P&amp;I, net)</t>
  </si>
  <si>
    <t>Distributable Cash Flow</t>
  </si>
  <si>
    <t>EB Share of Profit</t>
  </si>
  <si>
    <t>EB Fed Loss Carryforward</t>
  </si>
  <si>
    <t>EB Net Fed Taxable Income</t>
  </si>
  <si>
    <t>Fed Tax Rate</t>
  </si>
  <si>
    <t>Fed Tax Dist</t>
  </si>
  <si>
    <t>HI depreciation for Farm</t>
  </si>
  <si>
    <t>EB Net HI Taxable</t>
  </si>
  <si>
    <t>HI Tax Rate</t>
  </si>
  <si>
    <t xml:space="preserve">HI Tax Dist </t>
  </si>
  <si>
    <t>Tier 0</t>
  </si>
  <si>
    <t>Tier 1</t>
  </si>
  <si>
    <t>Pref Eq / Def Dist (JS+JJB)</t>
  </si>
  <si>
    <t>Tier 2</t>
  </si>
  <si>
    <t>TABLE B - Distribution Rate</t>
  </si>
  <si>
    <t>TABLE C</t>
  </si>
  <si>
    <t>EB (tier 0)</t>
  </si>
  <si>
    <t>EB (tax)</t>
  </si>
  <si>
    <t>EB (tier 1)</t>
  </si>
  <si>
    <t>EB (tier 2)</t>
  </si>
  <si>
    <t>EB (total)</t>
  </si>
  <si>
    <t>JS (tax)</t>
  </si>
  <si>
    <t>JS (tier 1)</t>
  </si>
  <si>
    <t>JS (PE/DD)</t>
  </si>
  <si>
    <t>JS (tier 2)</t>
  </si>
  <si>
    <t>JS (tax + tier 1 + PE/DD + tier 2)</t>
  </si>
  <si>
    <t>JS - buyout price</t>
  </si>
  <si>
    <t>JS - cash inflow for equity</t>
  </si>
  <si>
    <t>JS (total)</t>
  </si>
  <si>
    <t>JJB (tax)</t>
  </si>
  <si>
    <t>JJB (tier 1)</t>
  </si>
  <si>
    <t>JJB (PE/DD)</t>
  </si>
  <si>
    <t>JJB (tier 2)</t>
  </si>
  <si>
    <t>JJB (tax + tier 1 + PE/DD + tier 2)</t>
  </si>
  <si>
    <t>JJB - cash outflow for equity</t>
  </si>
  <si>
    <t>JJB (total)</t>
  </si>
  <si>
    <t>Examples for Item 4: EB equity ownership given grants which are based on PE/DD payments</t>
  </si>
  <si>
    <t>EXAMPLE #1</t>
  </si>
  <si>
    <t>PE/DD paid per year</t>
  </si>
  <si>
    <t>PE/DD paid in total</t>
  </si>
  <si>
    <t>EB (effective Jan 1)</t>
  </si>
  <si>
    <t>EXAMPLE #2</t>
  </si>
  <si>
    <t>EXAMPLE #3</t>
  </si>
  <si>
    <t>AgCredit BIP</t>
  </si>
  <si>
    <t xml:space="preserve">BIPAH Downpayment </t>
  </si>
  <si>
    <t>JJB SOLAR</t>
  </si>
  <si>
    <t>Deferred Dist</t>
  </si>
  <si>
    <t>Pref (traunch 1)</t>
  </si>
  <si>
    <t>Pref (traunch 2)</t>
  </si>
  <si>
    <t>Pref (traunch 3)</t>
  </si>
  <si>
    <t>JJB NMTC</t>
  </si>
  <si>
    <t>JJB LOC</t>
  </si>
  <si>
    <t>Lender</t>
  </si>
  <si>
    <t>AgCredit</t>
  </si>
  <si>
    <t>AgCredit/FCL</t>
  </si>
  <si>
    <t>Vince</t>
  </si>
  <si>
    <t>Period</t>
  </si>
  <si>
    <t>P-beg</t>
  </si>
  <si>
    <t>Princ-end</t>
  </si>
  <si>
    <t>Principle</t>
  </si>
  <si>
    <t>Pmt Date</t>
  </si>
  <si>
    <t>Principal</t>
  </si>
  <si>
    <t>Date</t>
  </si>
  <si>
    <t>Draw</t>
  </si>
  <si>
    <t>Balance</t>
  </si>
  <si>
    <t>Int Owed</t>
  </si>
  <si>
    <t>Balance (0% int)</t>
  </si>
  <si>
    <t>5% Int</t>
  </si>
  <si>
    <t>3m TBills + 2.5%</t>
  </si>
  <si>
    <t>Loan Use</t>
  </si>
  <si>
    <t>BIP Merger</t>
  </si>
  <si>
    <t>BIP Property</t>
  </si>
  <si>
    <t>BIP Downpmt</t>
  </si>
  <si>
    <t>Solar</t>
  </si>
  <si>
    <t>Start</t>
  </si>
  <si>
    <t>End</t>
  </si>
  <si>
    <t>Original</t>
  </si>
  <si>
    <t>~750000</t>
  </si>
  <si>
    <t>Outstanding</t>
  </si>
  <si>
    <t>Rate</t>
  </si>
  <si>
    <t>T Bills+2.5%</t>
  </si>
  <si>
    <t>Annual Pmt</t>
  </si>
  <si>
    <t>2026 Int</t>
  </si>
  <si>
    <t>JS pay back JJB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</si>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</sst>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2" formatCode="mm/dd/yyyy"/>
    <numFmt numFmtId="173" formatCode="&quot;$&quot;#,##0.00"/>
    <numFmt numFmtId="174" formatCode="mm/dd/yy"/>
    <numFmt numFmtId="182" formatCode="&quot;$&quot;#,##0"/>
    <numFmt numFmtId="183" formatCode="m/d/yy"/>
    <numFmt numFmtId="184" formatCode="0.0%"/>
    <numFmt numFmtId="185" formatCode="0.0000%"/>
    <numFmt numFmtId="186" formatCode="0.000%"/>
    <numFmt numFmtId="187" formatCode="mm&quot;/&quot;dd&quot;/&quot;yy"/>
    <numFmt numFmtId="188" formatCode="mmm\-yyyy"/>
    <numFmt numFmtId="189" formatCode="#,##0.0000"/>
    <numFmt numFmtId="190" formatCode="#,##0.000"/>
  </numFmts>
  <fonts count="19">
    <font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&quot;Aptos Narrow&quot;"/>
    </font>
    <font>
      <sz val="11"/>
      <color rgb="FFFF0000"/>
      <name val="Calibri"/>
    </font>
    <font>
      <sz val="11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sz val="9"/>
      <color rgb="FF000000"/>
      <name val="&quot;Aptos Narrow&quot;"/>
    </font>
    <font>
      <sz val="9"/>
      <color theme="1"/>
      <name val="Arial"/>
      <scheme val="minor"/>
    </font>
    <font>
      <b/>
      <sz val="8"/>
      <color rgb="FF000000"/>
      <name val="Arial"/>
    </font>
    <font>
      <sz val="11"/>
      <color rgb="FF393A3D"/>
      <name val="Avenir"/>
    </font>
    <font>
      <sz val="11"/>
      <color rgb="FF222222"/>
      <name val="Arial"/>
    </font>
    <font>
      <sz val="9"/>
      <color rgb="FF222222"/>
      <name val="Calibri"/>
    </font>
    <font>
      <sz val="11"/>
      <color rgb="FF222222"/>
      <name val="Arial"/>
    </font>
    <font>
      <sz val="8"/>
      <color theme="1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2CEEF"/>
        <bgColor rgb="FFF2CEEF"/>
      </patternFill>
    </fill>
    <fill>
      <patternFill patternType="solid">
        <fgColor rgb="FFF3F8FE"/>
        <bgColor rgb="FFF3F8F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3" fillId="0" borderId="5" xfId="0" applyFont="1" applyBorder="1"/>
    <xf numFmtId="3" fontId="3" fillId="0" borderId="0" xfId="0" applyNumberFormat="1" applyFont="1"/>
    <xf numFmtId="3" fontId="3" fillId="0" borderId="5" xfId="0" applyNumberFormat="1" applyFont="1" applyBorder="1"/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3" fillId="0" borderId="8" xfId="0" applyNumberFormat="1" applyFont="1" applyBorder="1"/>
    <xf numFmtId="3" fontId="3" fillId="0" borderId="9" xfId="0" applyNumberFormat="1" applyFont="1" applyBorder="1"/>
    <xf numFmtId="0" fontId="3" fillId="0" borderId="7" xfId="0" applyFont="1" applyBorder="1"/>
    <xf numFmtId="0" fontId="3" fillId="0" borderId="0" xfId="0" applyFont="1"/>
    <xf numFmtId="0" fontId="5" fillId="0" borderId="0" xfId="0" applyFont="1"/>
    <xf numFmtId="3" fontId="5" fillId="0" borderId="0" xfId="0" applyNumberFormat="1" applyFont="1"/>
    <xf numFmtId="0" fontId="2" fillId="0" borderId="0" xfId="0" applyFont="1"/>
    <xf numFmtId="0" fontId="4" fillId="6" borderId="2" xfId="0" applyFont="1" applyFill="1" applyBorder="1"/>
    <xf numFmtId="0" fontId="1" fillId="6" borderId="3" xfId="0" applyFont="1" applyFill="1" applyBorder="1"/>
    <xf numFmtId="0" fontId="3" fillId="6" borderId="3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184" fontId="3" fillId="0" borderId="0" xfId="0" applyNumberFormat="1" applyFont="1" applyAlignment="1">
      <alignment horizontal="right"/>
    </xf>
    <xf numFmtId="184" fontId="3" fillId="0" borderId="5" xfId="0" applyNumberFormat="1" applyFont="1" applyBorder="1" applyAlignment="1">
      <alignment horizontal="right"/>
    </xf>
    <xf numFmtId="0" fontId="1" fillId="0" borderId="8" xfId="0" applyFont="1" applyBorder="1"/>
    <xf numFmtId="0" fontId="3" fillId="0" borderId="8" xfId="0" applyFont="1" applyBorder="1"/>
    <xf numFmtId="10" fontId="3" fillId="0" borderId="0" xfId="0" applyNumberFormat="1" applyFont="1" applyAlignment="1">
      <alignment horizontal="right"/>
    </xf>
    <xf numFmtId="0" fontId="1" fillId="0" borderId="6" xfId="0" applyFont="1" applyBorder="1"/>
    <xf numFmtId="184" fontId="1" fillId="0" borderId="5" xfId="0" applyNumberFormat="1" applyFont="1" applyBorder="1"/>
    <xf numFmtId="184" fontId="6" fillId="0" borderId="0" xfId="0" applyNumberFormat="1" applyFont="1" applyAlignment="1">
      <alignment horizontal="right"/>
    </xf>
    <xf numFmtId="0" fontId="1" fillId="0" borderId="7" xfId="0" applyFont="1" applyBorder="1"/>
    <xf numFmtId="184" fontId="6" fillId="0" borderId="8" xfId="0" applyNumberFormat="1" applyFont="1" applyBorder="1" applyAlignment="1">
      <alignment horizontal="right"/>
    </xf>
    <xf numFmtId="184" fontId="3" fillId="0" borderId="8" xfId="0" applyNumberFormat="1" applyFont="1" applyBorder="1" applyAlignment="1">
      <alignment horizontal="right"/>
    </xf>
    <xf numFmtId="184" fontId="1" fillId="0" borderId="9" xfId="0" applyNumberFormat="1" applyFont="1" applyBorder="1"/>
    <xf numFmtId="3" fontId="3" fillId="2" borderId="0" xfId="0" applyNumberFormat="1" applyFont="1" applyFill="1" applyAlignment="1">
      <alignment horizontal="right"/>
    </xf>
    <xf numFmtId="185" fontId="1" fillId="0" borderId="0" xfId="0" applyNumberFormat="1" applyFont="1"/>
    <xf numFmtId="3" fontId="1" fillId="0" borderId="5" xfId="0" applyNumberFormat="1" applyFont="1" applyBorder="1"/>
    <xf numFmtId="3" fontId="1" fillId="0" borderId="8" xfId="0" applyNumberFormat="1" applyFont="1" applyBorder="1"/>
    <xf numFmtId="3" fontId="1" fillId="0" borderId="9" xfId="0" applyNumberFormat="1" applyFont="1" applyBorder="1"/>
    <xf numFmtId="184" fontId="1" fillId="0" borderId="0" xfId="0" applyNumberFormat="1" applyFont="1"/>
    <xf numFmtId="183" fontId="1" fillId="0" borderId="0" xfId="0" applyNumberFormat="1" applyFont="1"/>
    <xf numFmtId="186" fontId="1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7" borderId="1" xfId="0" applyFont="1" applyFill="1" applyBorder="1" applyAlignment="1">
      <alignment horizontal="left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right"/>
    </xf>
    <xf numFmtId="0" fontId="8" fillId="7" borderId="0" xfId="0" applyFont="1" applyFill="1" applyAlignment="1">
      <alignment horizontal="right" wrapText="1"/>
    </xf>
    <xf numFmtId="0" fontId="11" fillId="0" borderId="1" xfId="0" applyFont="1" applyBorder="1" applyAlignment="1">
      <alignment horizontal="right"/>
    </xf>
    <xf numFmtId="187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87" fontId="12" fillId="0" borderId="0" xfId="0" applyNumberFormat="1" applyFont="1" applyAlignment="1">
      <alignment horizontal="right"/>
    </xf>
    <xf numFmtId="14" fontId="8" fillId="0" borderId="0" xfId="0" applyNumberFormat="1" applyFont="1" applyAlignment="1">
      <alignment horizontal="right"/>
    </xf>
    <xf numFmtId="187" fontId="1" fillId="0" borderId="0" xfId="0" applyNumberFormat="1" applyFont="1"/>
    <xf numFmtId="49" fontId="8" fillId="0" borderId="0" xfId="0" applyNumberFormat="1" applyFont="1" applyAlignment="1">
      <alignment horizontal="right"/>
    </xf>
    <xf numFmtId="188" fontId="11" fillId="0" borderId="1" xfId="0" applyNumberFormat="1" applyFont="1" applyBorder="1"/>
    <xf numFmtId="0" fontId="11" fillId="0" borderId="1" xfId="0" applyFont="1" applyBorder="1"/>
    <xf numFmtId="0" fontId="1" fillId="6" borderId="1" xfId="0" applyFont="1" applyFill="1" applyBorder="1"/>
    <xf numFmtId="3" fontId="9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3" fontId="10" fillId="6" borderId="1" xfId="0" applyNumberFormat="1" applyFont="1" applyFill="1" applyBorder="1"/>
    <xf numFmtId="3" fontId="10" fillId="0" borderId="1" xfId="0" applyNumberFormat="1" applyFont="1" applyBorder="1"/>
    <xf numFmtId="10" fontId="9" fillId="0" borderId="1" xfId="0" applyNumberFormat="1" applyFont="1" applyBorder="1" applyAlignment="1">
      <alignment horizontal="right"/>
    </xf>
    <xf numFmtId="173" fontId="13" fillId="8" borderId="0" xfId="0" applyNumberFormat="1" applyFont="1" applyFill="1" applyAlignment="1">
      <alignment horizontal="right"/>
    </xf>
    <xf numFmtId="3" fontId="14" fillId="4" borderId="0" xfId="0" applyNumberFormat="1" applyFont="1" applyFill="1"/>
    <xf numFmtId="182" fontId="8" fillId="0" borderId="0" xfId="0" applyNumberFormat="1" applyFont="1" applyAlignment="1">
      <alignment horizontal="center"/>
    </xf>
    <xf numFmtId="189" fontId="8" fillId="0" borderId="0" xfId="0" applyNumberFormat="1" applyFont="1" applyAlignment="1">
      <alignment horizontal="right"/>
    </xf>
    <xf numFmtId="172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187" fontId="8" fillId="5" borderId="0" xfId="0" applyNumberFormat="1" applyFont="1" applyFill="1" applyAlignment="1">
      <alignment horizontal="center"/>
    </xf>
    <xf numFmtId="3" fontId="8" fillId="5" borderId="0" xfId="0" applyNumberFormat="1" applyFont="1" applyFill="1" applyAlignment="1">
      <alignment horizontal="right"/>
    </xf>
    <xf numFmtId="190" fontId="8" fillId="0" borderId="0" xfId="0" applyNumberFormat="1" applyFont="1" applyAlignment="1">
      <alignment horizontal="left"/>
    </xf>
    <xf numFmtId="3" fontId="15" fillId="4" borderId="0" xfId="0" applyNumberFormat="1" applyFont="1" applyFill="1"/>
    <xf numFmtId="3" fontId="16" fillId="0" borderId="0" xfId="0" applyNumberFormat="1" applyFont="1" applyAlignment="1">
      <alignment horizontal="center"/>
    </xf>
    <xf numFmtId="187" fontId="16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/>
    <xf numFmtId="183" fontId="8" fillId="0" borderId="0" xfId="0" applyNumberFormat="1" applyFont="1" applyAlignment="1">
      <alignment horizontal="right"/>
    </xf>
    <xf numFmtId="172" fontId="8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183" fontId="18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B1:L99"/>
  <sheetViews>
    <sheetView showGridLines="0" tabSelected="1" topLeftCell="A65" workbookViewId="0">
      <selection activeCell="A65" sqref="A65"/>
    </sheetView>
  </sheetViews>
  <sheetFormatPr defaultColWidth="12.59765625" defaultRowHeight="15" customHeight="1" outlineLevelRow="1"/>
  <cols>
    <col min="1" max="2" width="4.5" customWidth="1"/>
    <col min="3" max="3" width="19.3984375" customWidth="1"/>
    <col min="11" max="11" width="11.8984375" customWidth="1"/>
    <col min="12" max="12" width="5" customWidth="1"/>
  </cols>
  <sheetData>
    <row r="1" spans="2:11" ht="13.8">
      <c r="B1" s="15" t="s">
        <v>12</v>
      </c>
      <c r="D1" s="1"/>
      <c r="E1" s="1"/>
      <c r="F1" s="1" t="s">
        <v>13</v>
      </c>
      <c r="G1" s="1" t="s">
        <v>14</v>
      </c>
      <c r="I1" s="1" t="s">
        <v>15</v>
      </c>
      <c r="J1" s="1" t="s">
        <v>16</v>
      </c>
    </row>
    <row r="2" spans="2:11" ht="13.8">
      <c r="B2" s="1"/>
      <c r="D2" s="1"/>
      <c r="E2" s="1"/>
      <c r="F2" s="1"/>
      <c r="G2" s="1"/>
      <c r="H2" s="1"/>
      <c r="I2" s="1"/>
      <c r="J2" s="1"/>
    </row>
    <row r="3" spans="2:11" ht="14.4">
      <c r="B3" s="16" t="s">
        <v>17</v>
      </c>
      <c r="C3" s="17"/>
      <c r="D3" s="18">
        <v>2025</v>
      </c>
      <c r="E3" s="18">
        <v>2026</v>
      </c>
      <c r="F3" s="18">
        <v>2027</v>
      </c>
      <c r="G3" s="18">
        <v>2028</v>
      </c>
      <c r="H3" s="18">
        <v>2029</v>
      </c>
      <c r="I3" s="18">
        <v>2030</v>
      </c>
      <c r="J3" s="18">
        <v>2031</v>
      </c>
      <c r="K3" s="19">
        <f>1+J3</f>
        <v>2032</v>
      </c>
    </row>
    <row r="4" spans="2:11" ht="14.4" outlineLevel="1">
      <c r="B4" s="20" t="s">
        <v>18</v>
      </c>
      <c r="D4" s="7">
        <v>12300000</v>
      </c>
      <c r="E4" s="7">
        <v>14200000</v>
      </c>
      <c r="F4" s="7">
        <v>14900000</v>
      </c>
      <c r="G4" s="7">
        <f t="shared" ref="G4:K4" si="0">F4*1.05</f>
        <v>15645000</v>
      </c>
      <c r="H4" s="7">
        <f t="shared" si="0"/>
        <v>16427250</v>
      </c>
      <c r="I4" s="7">
        <f t="shared" si="0"/>
        <v>17248612.5</v>
      </c>
      <c r="J4" s="7">
        <f t="shared" si="0"/>
        <v>18111043.125</v>
      </c>
      <c r="K4" s="8">
        <f t="shared" si="0"/>
        <v>19016595.28125</v>
      </c>
    </row>
    <row r="5" spans="2:11" ht="14.4" outlineLevel="1">
      <c r="B5" s="20" t="s">
        <v>19</v>
      </c>
      <c r="D5" s="7">
        <v>-9300000</v>
      </c>
      <c r="E5" s="7">
        <v>-9700000</v>
      </c>
      <c r="F5" s="7">
        <v>-9900000</v>
      </c>
      <c r="G5" s="7">
        <f t="shared" ref="G5:K5" si="1">F5*1.05</f>
        <v>-10395000</v>
      </c>
      <c r="H5" s="7">
        <f t="shared" si="1"/>
        <v>-10914750</v>
      </c>
      <c r="I5" s="7">
        <f t="shared" si="1"/>
        <v>-11460487.5</v>
      </c>
      <c r="J5" s="7">
        <f t="shared" si="1"/>
        <v>-12033511.875</v>
      </c>
      <c r="K5" s="8">
        <f t="shared" si="1"/>
        <v>-12635187.46875</v>
      </c>
    </row>
    <row r="6" spans="2:11" ht="14.4">
      <c r="B6" s="20" t="s">
        <v>20</v>
      </c>
      <c r="D6" s="7">
        <v>3000000</v>
      </c>
      <c r="E6" s="7">
        <f t="shared" ref="E6:K6" si="2">SUM(E4:E5)</f>
        <v>4500000</v>
      </c>
      <c r="F6" s="7">
        <f t="shared" si="2"/>
        <v>5000000</v>
      </c>
      <c r="G6" s="7">
        <f t="shared" si="2"/>
        <v>5250000</v>
      </c>
      <c r="H6" s="7">
        <f t="shared" si="2"/>
        <v>5512500</v>
      </c>
      <c r="I6" s="7">
        <f t="shared" si="2"/>
        <v>5788125</v>
      </c>
      <c r="J6" s="7">
        <f t="shared" si="2"/>
        <v>6077531.25</v>
      </c>
      <c r="K6" s="8">
        <f t="shared" si="2"/>
        <v>6381407.8125</v>
      </c>
    </row>
    <row r="7" spans="2:11" ht="14.4" outlineLevel="1">
      <c r="B7" s="20" t="s">
        <v>21</v>
      </c>
      <c r="D7" s="5"/>
      <c r="E7" s="12"/>
      <c r="F7" s="12"/>
      <c r="G7" s="12"/>
      <c r="H7" s="12"/>
      <c r="I7" s="12"/>
      <c r="J7" s="12"/>
      <c r="K7" s="4"/>
    </row>
    <row r="8" spans="2:11" ht="14.4" outlineLevel="1">
      <c r="B8" s="20" t="s">
        <v>22</v>
      </c>
      <c r="D8" s="7">
        <f>-SUMIFS(AgInt,AgYears,D$3)</f>
        <v>-4929.0581053075202</v>
      </c>
      <c r="E8" s="7">
        <f>-SUMIFS(AgInt,AgYears,E$3)</f>
        <v>-263.77365127270883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2">
        <v>0</v>
      </c>
    </row>
    <row r="9" spans="2:11" ht="14.4" outlineLevel="1">
      <c r="B9" s="20" t="s">
        <v>23</v>
      </c>
      <c r="D9" s="7">
        <f t="shared" ref="D9:K9" si="3">-SUMIFS(FCLInt,FCLYears,D$3)</f>
        <v>-364399.95665800711</v>
      </c>
      <c r="E9" s="7">
        <f t="shared" si="3"/>
        <v>-310723.82172135072</v>
      </c>
      <c r="F9" s="7">
        <f t="shared" si="3"/>
        <v>-253098.72998338277</v>
      </c>
      <c r="G9" s="7">
        <f t="shared" si="3"/>
        <v>-191234.15643076118</v>
      </c>
      <c r="H9" s="7">
        <f t="shared" si="3"/>
        <v>-124818.20210567595</v>
      </c>
      <c r="I9" s="7">
        <f t="shared" si="3"/>
        <v>-53516.021623339388</v>
      </c>
      <c r="J9" s="7">
        <f t="shared" si="3"/>
        <v>-1079.4298289910903</v>
      </c>
      <c r="K9" s="8">
        <f t="shared" si="3"/>
        <v>0</v>
      </c>
    </row>
    <row r="10" spans="2:11" ht="14.4" outlineLevel="1">
      <c r="B10" s="20" t="s">
        <v>24</v>
      </c>
      <c r="D10" s="7">
        <f t="shared" ref="D10:K10" si="4">-SUMIFS(BIPAHInt,BIPAHYears,D$3)</f>
        <v>-250335.08174692703</v>
      </c>
      <c r="E10" s="7">
        <f t="shared" si="4"/>
        <v>-293234.15340574528</v>
      </c>
      <c r="F10" s="7">
        <f t="shared" si="4"/>
        <v>-284920.42254674167</v>
      </c>
      <c r="G10" s="7">
        <f t="shared" si="4"/>
        <v>-276049.90573505999</v>
      </c>
      <c r="H10" s="7">
        <f t="shared" si="4"/>
        <v>-266585.31398428028</v>
      </c>
      <c r="I10" s="7">
        <f t="shared" si="4"/>
        <v>-256486.86099550285</v>
      </c>
      <c r="J10" s="7">
        <f t="shared" si="4"/>
        <v>-245712.09590770639</v>
      </c>
      <c r="K10" s="8">
        <f t="shared" si="4"/>
        <v>-234215.72484708787</v>
      </c>
    </row>
    <row r="11" spans="2:11" ht="14.4" outlineLevel="1">
      <c r="B11" s="20" t="s">
        <v>25</v>
      </c>
      <c r="D11" s="7">
        <f>'Debt Schedule'!$BW$69+'Debt Schedule'!BW78+'Debt Schedule'!BW81</f>
        <v>-59691.298993150682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8">
        <v>0</v>
      </c>
    </row>
    <row r="12" spans="2:11" ht="14.4" outlineLevel="1">
      <c r="B12" s="20" t="s">
        <v>26</v>
      </c>
      <c r="D12" s="7">
        <f>'Debt Schedule'!AU16+'Debt Schedule'!AU19+'Debt Schedule'!AU27</f>
        <v>-76147.381586301359</v>
      </c>
      <c r="E12" s="7">
        <f>'Debt Schedule'!AU32</f>
        <v>-2669.5358630136975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8">
        <v>0</v>
      </c>
    </row>
    <row r="13" spans="2:11" ht="14.4" outlineLevel="1">
      <c r="B13" s="20" t="s">
        <v>27</v>
      </c>
      <c r="D13" s="7">
        <f t="shared" ref="D13:K13" si="5">-SUMIFS(JJBDownPaymentInt,JJBDownPaymentYears,D$3)</f>
        <v>0</v>
      </c>
      <c r="E13" s="7">
        <f t="shared" si="5"/>
        <v>-37500</v>
      </c>
      <c r="F13" s="7">
        <f t="shared" si="5"/>
        <v>-31043.823082997988</v>
      </c>
      <c r="G13" s="7">
        <f t="shared" si="5"/>
        <v>-24103.432897220828</v>
      </c>
      <c r="H13" s="7">
        <f t="shared" si="5"/>
        <v>-16642.513447510381</v>
      </c>
      <c r="I13" s="7">
        <f t="shared" si="5"/>
        <v>-8622.0250390716465</v>
      </c>
      <c r="J13" s="7">
        <f t="shared" si="5"/>
        <v>0</v>
      </c>
      <c r="K13" s="8">
        <f t="shared" si="5"/>
        <v>0</v>
      </c>
    </row>
    <row r="14" spans="2:11" ht="14.4" outlineLevel="1">
      <c r="B14" s="20" t="s">
        <v>21</v>
      </c>
      <c r="D14" s="7">
        <f t="shared" ref="D14:K14" si="6">SUM(D8:D13)</f>
        <v>-755502.7770896937</v>
      </c>
      <c r="E14" s="7">
        <f t="shared" si="6"/>
        <v>-644391.2846413824</v>
      </c>
      <c r="F14" s="7">
        <f t="shared" si="6"/>
        <v>-569062.97561312234</v>
      </c>
      <c r="G14" s="7">
        <f t="shared" si="6"/>
        <v>-491387.49506304204</v>
      </c>
      <c r="H14" s="7">
        <f t="shared" si="6"/>
        <v>-408046.02953746659</v>
      </c>
      <c r="I14" s="7">
        <f t="shared" si="6"/>
        <v>-318624.90765791386</v>
      </c>
      <c r="J14" s="7">
        <f t="shared" si="6"/>
        <v>-246791.52573669748</v>
      </c>
      <c r="K14" s="8">
        <f t="shared" si="6"/>
        <v>-234215.72484708787</v>
      </c>
    </row>
    <row r="15" spans="2:11" ht="14.4" outlineLevel="1">
      <c r="B15" s="20" t="s">
        <v>28</v>
      </c>
      <c r="D15" s="7">
        <f t="shared" ref="D15:K15" si="7">SUM(D6:D13)</f>
        <v>2244497.2229103064</v>
      </c>
      <c r="E15" s="7">
        <f t="shared" si="7"/>
        <v>3855608.7153586172</v>
      </c>
      <c r="F15" s="7">
        <f t="shared" si="7"/>
        <v>4430937.0243868772</v>
      </c>
      <c r="G15" s="7">
        <f t="shared" si="7"/>
        <v>4758612.5049369587</v>
      </c>
      <c r="H15" s="7">
        <f t="shared" si="7"/>
        <v>5104453.9704625336</v>
      </c>
      <c r="I15" s="7">
        <f t="shared" si="7"/>
        <v>5469500.0923420861</v>
      </c>
      <c r="J15" s="7">
        <f t="shared" si="7"/>
        <v>5830739.7242633021</v>
      </c>
      <c r="K15" s="8">
        <f t="shared" si="7"/>
        <v>6147192.0876529124</v>
      </c>
    </row>
    <row r="16" spans="2:11" ht="14.4" outlineLevel="1">
      <c r="B16" s="20" t="s">
        <v>29</v>
      </c>
      <c r="D16" s="12"/>
      <c r="E16" s="12"/>
      <c r="F16" s="12"/>
      <c r="G16" s="12"/>
      <c r="H16" s="12"/>
      <c r="I16" s="12"/>
      <c r="J16" s="12"/>
      <c r="K16" s="4"/>
    </row>
    <row r="17" spans="2:11" ht="14.4" outlineLevel="1">
      <c r="B17" s="20" t="s">
        <v>22</v>
      </c>
      <c r="D17" s="7">
        <f>SUMIFS(AgP,AgYears,D$3)</f>
        <v>-145250.94189469249</v>
      </c>
      <c r="E17" s="7">
        <f>SUMIFS(AgP,AgYears,E$3)</f>
        <v>-37281.226348727287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2">
        <v>0</v>
      </c>
    </row>
    <row r="18" spans="2:11" ht="14.4" outlineLevel="1">
      <c r="B18" s="20" t="s">
        <v>23</v>
      </c>
      <c r="D18" s="7">
        <f t="shared" ref="D18:K18" si="8">SUMIFS(FCLP,FCLYears,D$3)</f>
        <v>-729592.04334199277</v>
      </c>
      <c r="E18" s="7">
        <f t="shared" si="8"/>
        <v>-783268.17827864934</v>
      </c>
      <c r="F18" s="7">
        <f t="shared" si="8"/>
        <v>-840893.27001661726</v>
      </c>
      <c r="G18" s="7">
        <f t="shared" si="8"/>
        <v>-902757.8435692389</v>
      </c>
      <c r="H18" s="7">
        <f t="shared" si="8"/>
        <v>-969173.79789432418</v>
      </c>
      <c r="I18" s="7">
        <f t="shared" si="8"/>
        <v>-1040475.9783766605</v>
      </c>
      <c r="J18" s="7">
        <f t="shared" si="8"/>
        <v>-90086.570171008905</v>
      </c>
      <c r="K18" s="8">
        <f t="shared" si="8"/>
        <v>0</v>
      </c>
    </row>
    <row r="19" spans="2:11" ht="14.4" outlineLevel="1">
      <c r="B19" s="20" t="s">
        <v>24</v>
      </c>
      <c r="D19" s="7">
        <f t="shared" ref="D19:K19" si="9">-SUMIFS(BIPAHP,BIPAHYears,D$3)</f>
        <v>-97474.785970863886</v>
      </c>
      <c r="E19" s="7">
        <f t="shared" si="9"/>
        <v>-124137.68785560317</v>
      </c>
      <c r="F19" s="7">
        <f t="shared" si="9"/>
        <v>-132451.418714609</v>
      </c>
      <c r="G19" s="7">
        <f t="shared" si="9"/>
        <v>-141321.93552628951</v>
      </c>
      <c r="H19" s="7">
        <f t="shared" si="9"/>
        <v>-150786.52727706917</v>
      </c>
      <c r="I19" s="7">
        <f t="shared" si="9"/>
        <v>-160884.98026584648</v>
      </c>
      <c r="J19" s="7">
        <f t="shared" si="9"/>
        <v>-171659.74535364285</v>
      </c>
      <c r="K19" s="8">
        <f t="shared" si="9"/>
        <v>-183156.11641426198</v>
      </c>
    </row>
    <row r="20" spans="2:11" ht="14.4" outlineLevel="1">
      <c r="B20" s="20" t="s">
        <v>25</v>
      </c>
      <c r="D20" s="7">
        <f>SUMIFS(JJBLOCP,JJBLOCYears,D$3)</f>
        <v>-553106.1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8">
        <v>0</v>
      </c>
    </row>
    <row r="21" spans="2:11" ht="14.4" outlineLevel="1">
      <c r="B21" s="20" t="s">
        <v>26</v>
      </c>
      <c r="D21" s="7">
        <f>SUMIFS(JJBSolarP,JJBSolarYears,D$3)-'Debt Schedule'!AS13-'Debt Schedule'!AS22</f>
        <v>-125000</v>
      </c>
      <c r="E21" s="7">
        <f>SUMIFS(JJBSolarP,JJBSolarYears,E$3)+114500</f>
        <v>-14620.199999999953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8">
        <v>0</v>
      </c>
    </row>
    <row r="22" spans="2:11" ht="14.4" outlineLevel="1">
      <c r="B22" s="20" t="s">
        <v>27</v>
      </c>
      <c r="D22" s="7">
        <f t="shared" ref="D22:K22" si="10">-SUMIFS(JJBDownPaymentP,JJBDownPaymentYears,D$3)</f>
        <v>0</v>
      </c>
      <c r="E22" s="7">
        <f t="shared" si="10"/>
        <v>-86082.358893360128</v>
      </c>
      <c r="F22" s="7">
        <f t="shared" si="10"/>
        <v>-92538.53581036214</v>
      </c>
      <c r="G22" s="7">
        <f t="shared" si="10"/>
        <v>-99478.925996139325</v>
      </c>
      <c r="H22" s="7">
        <f t="shared" si="10"/>
        <v>-106939.84544584977</v>
      </c>
      <c r="I22" s="7">
        <f t="shared" si="10"/>
        <v>-114960.33385428863</v>
      </c>
      <c r="J22" s="7">
        <f t="shared" si="10"/>
        <v>0</v>
      </c>
      <c r="K22" s="8">
        <f t="shared" si="10"/>
        <v>0</v>
      </c>
    </row>
    <row r="23" spans="2:11" ht="14.4" outlineLevel="1">
      <c r="B23" s="20" t="s">
        <v>29</v>
      </c>
      <c r="D23" s="7">
        <f t="shared" ref="D23:K23" si="11">SUM(D17:D22)</f>
        <v>-1650423.8712075492</v>
      </c>
      <c r="E23" s="7">
        <f t="shared" si="11"/>
        <v>-1045389.6513763398</v>
      </c>
      <c r="F23" s="7">
        <f t="shared" si="11"/>
        <v>-1065883.2245415885</v>
      </c>
      <c r="G23" s="7">
        <f t="shared" si="11"/>
        <v>-1143558.7050916678</v>
      </c>
      <c r="H23" s="7">
        <f t="shared" si="11"/>
        <v>-1226900.170617243</v>
      </c>
      <c r="I23" s="7">
        <f t="shared" si="11"/>
        <v>-1316321.2924967955</v>
      </c>
      <c r="J23" s="7">
        <f t="shared" si="11"/>
        <v>-261746.31552465176</v>
      </c>
      <c r="K23" s="8">
        <f t="shared" si="11"/>
        <v>-183156.11641426198</v>
      </c>
    </row>
    <row r="24" spans="2:11" ht="14.4" outlineLevel="1">
      <c r="B24" s="20" t="s">
        <v>30</v>
      </c>
      <c r="D24" s="7">
        <v>295000</v>
      </c>
      <c r="E24" s="7">
        <v>-40000</v>
      </c>
      <c r="F24" s="7">
        <v>-40000</v>
      </c>
      <c r="G24" s="7">
        <v>-40000</v>
      </c>
      <c r="H24" s="7">
        <v>-40000</v>
      </c>
      <c r="I24" s="7">
        <v>-40000</v>
      </c>
      <c r="J24" s="7">
        <v>0</v>
      </c>
      <c r="K24" s="22">
        <v>0</v>
      </c>
    </row>
    <row r="25" spans="2:11" ht="14.4" outlineLevel="1">
      <c r="B25" s="20" t="s">
        <v>31</v>
      </c>
      <c r="D25" s="23">
        <v>200000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2">
        <v>0</v>
      </c>
    </row>
    <row r="26" spans="2:11" ht="14.4">
      <c r="B26" s="20" t="s">
        <v>32</v>
      </c>
      <c r="D26" s="23">
        <v>-170000</v>
      </c>
      <c r="E26" s="7">
        <v>-250000</v>
      </c>
      <c r="F26" s="7">
        <f t="shared" ref="F26:K26" si="12">E26</f>
        <v>-250000</v>
      </c>
      <c r="G26" s="7">
        <f t="shared" si="12"/>
        <v>-250000</v>
      </c>
      <c r="H26" s="7">
        <f t="shared" si="12"/>
        <v>-250000</v>
      </c>
      <c r="I26" s="7">
        <f t="shared" si="12"/>
        <v>-250000</v>
      </c>
      <c r="J26" s="7">
        <f t="shared" si="12"/>
        <v>-250000</v>
      </c>
      <c r="K26" s="8">
        <f t="shared" si="12"/>
        <v>-250000</v>
      </c>
    </row>
    <row r="27" spans="2:11" ht="14.4">
      <c r="B27" s="20" t="s">
        <v>33</v>
      </c>
      <c r="D27" s="7">
        <f t="shared" ref="D27:K27" si="13">D14+D23+D24+D25</f>
        <v>-1910926.6482972428</v>
      </c>
      <c r="E27" s="5">
        <f t="shared" si="13"/>
        <v>-1729780.9360177224</v>
      </c>
      <c r="F27" s="5">
        <f t="shared" si="13"/>
        <v>-1674946.2001547108</v>
      </c>
      <c r="G27" s="5">
        <f t="shared" si="13"/>
        <v>-1674946.2001547099</v>
      </c>
      <c r="H27" s="5">
        <f t="shared" si="13"/>
        <v>-1674946.2001547096</v>
      </c>
      <c r="I27" s="5">
        <f t="shared" si="13"/>
        <v>-1674946.2001547094</v>
      </c>
      <c r="J27" s="5">
        <f t="shared" si="13"/>
        <v>-508537.84126134927</v>
      </c>
      <c r="K27" s="6">
        <f t="shared" si="13"/>
        <v>-417371.84126134985</v>
      </c>
    </row>
    <row r="28" spans="2:11" ht="14.4">
      <c r="B28" s="20" t="s">
        <v>34</v>
      </c>
      <c r="D28" s="7">
        <f t="shared" ref="D28:K28" si="14">SUM(D23:D26,D15)</f>
        <v>919073.35170275718</v>
      </c>
      <c r="E28" s="7">
        <f t="shared" si="14"/>
        <v>2520219.0639822772</v>
      </c>
      <c r="F28" s="7">
        <f t="shared" si="14"/>
        <v>3075053.7998452885</v>
      </c>
      <c r="G28" s="7">
        <f t="shared" si="14"/>
        <v>3325053.7998452908</v>
      </c>
      <c r="H28" s="7">
        <f t="shared" si="14"/>
        <v>3587553.7998452904</v>
      </c>
      <c r="I28" s="7">
        <f t="shared" si="14"/>
        <v>3863178.7998452904</v>
      </c>
      <c r="J28" s="7">
        <f t="shared" si="14"/>
        <v>5318993.4087386504</v>
      </c>
      <c r="K28" s="8">
        <f t="shared" si="14"/>
        <v>5714035.9712386504</v>
      </c>
    </row>
    <row r="29" spans="2:11" ht="14.4" outlineLevel="1">
      <c r="B29" s="20" t="s">
        <v>35</v>
      </c>
      <c r="D29" s="7">
        <f t="shared" ref="D29:K29" si="15">D15*D47</f>
        <v>572346.79184212815</v>
      </c>
      <c r="E29" s="7">
        <f t="shared" si="15"/>
        <v>1002458.2659932405</v>
      </c>
      <c r="F29" s="7">
        <f t="shared" si="15"/>
        <v>1174198.3114625225</v>
      </c>
      <c r="G29" s="7">
        <f t="shared" si="15"/>
        <v>1284825.376332979</v>
      </c>
      <c r="H29" s="7">
        <f t="shared" si="15"/>
        <v>1403724.8418771969</v>
      </c>
      <c r="I29" s="7">
        <f t="shared" si="15"/>
        <v>1504112.5253940739</v>
      </c>
      <c r="J29" s="7">
        <f t="shared" si="15"/>
        <v>1603453.4241724082</v>
      </c>
      <c r="K29" s="8">
        <f t="shared" si="15"/>
        <v>1690477.824104551</v>
      </c>
    </row>
    <row r="30" spans="2:11" ht="14.4" outlineLevel="1">
      <c r="B30" s="20" t="s">
        <v>36</v>
      </c>
      <c r="D30" s="7">
        <v>1189000</v>
      </c>
      <c r="E30" s="7">
        <f>D30-D29</f>
        <v>616653.20815787185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8">
        <v>0</v>
      </c>
    </row>
    <row r="31" spans="2:11" ht="14.4" outlineLevel="1">
      <c r="B31" s="20" t="s">
        <v>37</v>
      </c>
      <c r="D31" s="7">
        <f t="shared" ref="D31:K31" si="16">MAX(D29-D30,0)</f>
        <v>0</v>
      </c>
      <c r="E31" s="7">
        <f t="shared" si="16"/>
        <v>385805.05783536867</v>
      </c>
      <c r="F31" s="7">
        <f t="shared" si="16"/>
        <v>1174198.3114625225</v>
      </c>
      <c r="G31" s="7">
        <f t="shared" si="16"/>
        <v>1284825.376332979</v>
      </c>
      <c r="H31" s="7">
        <f t="shared" si="16"/>
        <v>1403724.8418771969</v>
      </c>
      <c r="I31" s="7">
        <f t="shared" si="16"/>
        <v>1504112.5253940739</v>
      </c>
      <c r="J31" s="7">
        <f t="shared" si="16"/>
        <v>1603453.4241724082</v>
      </c>
      <c r="K31" s="8">
        <f t="shared" si="16"/>
        <v>1690477.824104551</v>
      </c>
    </row>
    <row r="32" spans="2:11" ht="14.4" outlineLevel="1">
      <c r="B32" s="20" t="s">
        <v>38</v>
      </c>
      <c r="D32" s="24">
        <v>0</v>
      </c>
      <c r="E32" s="24">
        <v>0.14599999999999999</v>
      </c>
      <c r="F32" s="24">
        <v>0.3</v>
      </c>
      <c r="G32" s="24">
        <f t="shared" ref="G32:K32" si="17">F32</f>
        <v>0.3</v>
      </c>
      <c r="H32" s="24">
        <f t="shared" si="17"/>
        <v>0.3</v>
      </c>
      <c r="I32" s="24">
        <f t="shared" si="17"/>
        <v>0.3</v>
      </c>
      <c r="J32" s="24">
        <f t="shared" si="17"/>
        <v>0.3</v>
      </c>
      <c r="K32" s="25">
        <f t="shared" si="17"/>
        <v>0.3</v>
      </c>
    </row>
    <row r="33" spans="2:11" ht="14.4">
      <c r="B33" s="20"/>
      <c r="D33" s="7"/>
      <c r="E33" s="7"/>
      <c r="F33" s="7"/>
      <c r="G33" s="7"/>
      <c r="H33" s="7"/>
      <c r="I33" s="7"/>
      <c r="J33" s="7"/>
      <c r="K33" s="8"/>
    </row>
    <row r="34" spans="2:11" ht="14.4">
      <c r="B34" s="20" t="s">
        <v>39</v>
      </c>
      <c r="D34" s="7"/>
      <c r="E34" s="7">
        <f t="shared" ref="E34:K34" si="18">-E31*E32/E47</f>
        <v>-216644.37863063009</v>
      </c>
      <c r="F34" s="7">
        <f t="shared" si="18"/>
        <v>-1329281.107316063</v>
      </c>
      <c r="G34" s="7">
        <f t="shared" si="18"/>
        <v>-1427583.7514810876</v>
      </c>
      <c r="H34" s="7">
        <f t="shared" si="18"/>
        <v>-1531336.19113876</v>
      </c>
      <c r="I34" s="7">
        <f t="shared" si="18"/>
        <v>-1640850.0277026258</v>
      </c>
      <c r="J34" s="7">
        <f t="shared" si="18"/>
        <v>-1749221.9172789904</v>
      </c>
      <c r="K34" s="8">
        <f t="shared" si="18"/>
        <v>-1844157.6262958737</v>
      </c>
    </row>
    <row r="35" spans="2:11" ht="14.4" outlineLevel="1">
      <c r="B35" s="20" t="s">
        <v>35</v>
      </c>
      <c r="D35" s="7">
        <f t="shared" ref="D35:K35" si="19">D29</f>
        <v>572346.79184212815</v>
      </c>
      <c r="E35" s="7">
        <f t="shared" si="19"/>
        <v>1002458.2659932405</v>
      </c>
      <c r="F35" s="7">
        <f t="shared" si="19"/>
        <v>1174198.3114625225</v>
      </c>
      <c r="G35" s="7">
        <f t="shared" si="19"/>
        <v>1284825.376332979</v>
      </c>
      <c r="H35" s="7">
        <f t="shared" si="19"/>
        <v>1403724.8418771969</v>
      </c>
      <c r="I35" s="7">
        <f t="shared" si="19"/>
        <v>1504112.5253940739</v>
      </c>
      <c r="J35" s="7">
        <f t="shared" si="19"/>
        <v>1603453.4241724082</v>
      </c>
      <c r="K35" s="8">
        <f t="shared" si="19"/>
        <v>1690477.824104551</v>
      </c>
    </row>
    <row r="36" spans="2:11" ht="14.4" outlineLevel="1">
      <c r="B36" s="20" t="s">
        <v>40</v>
      </c>
      <c r="D36" s="7">
        <v>1000000</v>
      </c>
      <c r="E36" s="7">
        <f t="shared" ref="E36:H36" si="20">D36</f>
        <v>1000000</v>
      </c>
      <c r="F36" s="7">
        <f t="shared" si="20"/>
        <v>1000000</v>
      </c>
      <c r="G36" s="7">
        <f t="shared" si="20"/>
        <v>1000000</v>
      </c>
      <c r="H36" s="7">
        <f t="shared" si="20"/>
        <v>1000000</v>
      </c>
      <c r="I36" s="7">
        <v>0</v>
      </c>
      <c r="J36" s="7">
        <f t="shared" ref="J36:K36" si="21">I36</f>
        <v>0</v>
      </c>
      <c r="K36" s="8">
        <f t="shared" si="21"/>
        <v>0</v>
      </c>
    </row>
    <row r="37" spans="2:11" ht="14.4" outlineLevel="1">
      <c r="B37" s="20" t="s">
        <v>41</v>
      </c>
      <c r="D37" s="7">
        <f t="shared" ref="D37:K37" si="22">D35-D36*D47</f>
        <v>317346.79184212815</v>
      </c>
      <c r="E37" s="7">
        <f t="shared" si="22"/>
        <v>742458.26599324052</v>
      </c>
      <c r="F37" s="7">
        <f t="shared" si="22"/>
        <v>909198.31146252248</v>
      </c>
      <c r="G37" s="7">
        <f t="shared" si="22"/>
        <v>1014825.376332979</v>
      </c>
      <c r="H37" s="7">
        <f t="shared" si="22"/>
        <v>1128724.8418771969</v>
      </c>
      <c r="I37" s="7">
        <f t="shared" si="22"/>
        <v>1504112.5253940739</v>
      </c>
      <c r="J37" s="7">
        <f t="shared" si="22"/>
        <v>1603453.4241724082</v>
      </c>
      <c r="K37" s="8">
        <f t="shared" si="22"/>
        <v>1690477.824104551</v>
      </c>
    </row>
    <row r="38" spans="2:11" ht="14.4" outlineLevel="1">
      <c r="B38" s="20" t="s">
        <v>42</v>
      </c>
      <c r="D38" s="24">
        <f>23/325</f>
        <v>7.0769230769230765E-2</v>
      </c>
      <c r="E38" s="24">
        <f>56/650</f>
        <v>8.615384615384615E-2</v>
      </c>
      <c r="F38" s="24">
        <v>0.1</v>
      </c>
      <c r="G38" s="24">
        <f t="shared" ref="G38:K38" si="23">F38</f>
        <v>0.1</v>
      </c>
      <c r="H38" s="24">
        <f t="shared" si="23"/>
        <v>0.1</v>
      </c>
      <c r="I38" s="24">
        <f t="shared" si="23"/>
        <v>0.1</v>
      </c>
      <c r="J38" s="24">
        <f t="shared" si="23"/>
        <v>0.1</v>
      </c>
      <c r="K38" s="25">
        <f t="shared" si="23"/>
        <v>0.1</v>
      </c>
    </row>
    <row r="39" spans="2:11" ht="14.4">
      <c r="B39" s="20" t="s">
        <v>43</v>
      </c>
      <c r="D39" s="7"/>
      <c r="E39" s="7">
        <f t="shared" ref="E39:K39" si="24">-E37*E38/E47</f>
        <v>-246021.67393858853</v>
      </c>
      <c r="F39" s="7">
        <f t="shared" si="24"/>
        <v>-343093.70243868773</v>
      </c>
      <c r="G39" s="7">
        <f t="shared" si="24"/>
        <v>-375861.2504936959</v>
      </c>
      <c r="H39" s="7">
        <f t="shared" si="24"/>
        <v>-410445.39704625343</v>
      </c>
      <c r="I39" s="7">
        <f t="shared" si="24"/>
        <v>-546950.00923420873</v>
      </c>
      <c r="J39" s="7">
        <f t="shared" si="24"/>
        <v>-583073.97242633032</v>
      </c>
      <c r="K39" s="8">
        <f t="shared" si="24"/>
        <v>-614719.20876529126</v>
      </c>
    </row>
    <row r="40" spans="2:11" ht="14.4">
      <c r="B40" s="20"/>
      <c r="D40" s="7"/>
      <c r="E40" s="7"/>
      <c r="F40" s="7"/>
      <c r="G40" s="7"/>
      <c r="H40" s="7"/>
      <c r="I40" s="7"/>
      <c r="J40" s="7"/>
      <c r="K40" s="8"/>
    </row>
    <row r="41" spans="2:11" ht="14.4">
      <c r="B41" s="20" t="s">
        <v>44</v>
      </c>
      <c r="D41" s="7">
        <v>-300000</v>
      </c>
      <c r="E41" s="7">
        <f t="shared" ref="E41:K41" si="25">D41</f>
        <v>-300000</v>
      </c>
      <c r="F41" s="7">
        <f t="shared" si="25"/>
        <v>-300000</v>
      </c>
      <c r="G41" s="7">
        <f t="shared" si="25"/>
        <v>-300000</v>
      </c>
      <c r="H41" s="7">
        <f t="shared" si="25"/>
        <v>-300000</v>
      </c>
      <c r="I41" s="7">
        <f t="shared" si="25"/>
        <v>-300000</v>
      </c>
      <c r="J41" s="7">
        <f t="shared" si="25"/>
        <v>-300000</v>
      </c>
      <c r="K41" s="8">
        <f t="shared" si="25"/>
        <v>-300000</v>
      </c>
    </row>
    <row r="42" spans="2:11" ht="14.4">
      <c r="B42" s="20" t="s">
        <v>45</v>
      </c>
      <c r="D42" s="7">
        <f>MAX(-400000,-D28-D41)</f>
        <v>-400000</v>
      </c>
      <c r="E42" s="7">
        <v>-500000</v>
      </c>
      <c r="F42" s="7">
        <v>-600000</v>
      </c>
      <c r="G42" s="7">
        <v>-750000</v>
      </c>
      <c r="H42" s="7">
        <f t="shared" ref="H42:K42" si="26">G42</f>
        <v>-750000</v>
      </c>
      <c r="I42" s="7">
        <f t="shared" si="26"/>
        <v>-750000</v>
      </c>
      <c r="J42" s="7">
        <f t="shared" si="26"/>
        <v>-750000</v>
      </c>
      <c r="K42" s="8">
        <f t="shared" si="26"/>
        <v>-750000</v>
      </c>
    </row>
    <row r="43" spans="2:11" ht="14.4">
      <c r="B43" s="20" t="s">
        <v>46</v>
      </c>
      <c r="D43" s="7">
        <f>MIN(-(D$28+D$34+D$39+D41+D42),0)</f>
        <v>-219073.35170275718</v>
      </c>
      <c r="E43" s="7">
        <f t="shared" ref="E43:K43" si="27">MAX(MIN(-(E$28+E$34+E$39+E41+E42),0),-3225000-SUM($D43:D43))</f>
        <v>-1257553.0114130585</v>
      </c>
      <c r="F43" s="7">
        <f t="shared" si="27"/>
        <v>-502678.99009053782</v>
      </c>
      <c r="G43" s="7">
        <f t="shared" si="27"/>
        <v>-471608.79787050723</v>
      </c>
      <c r="H43" s="7">
        <f t="shared" si="27"/>
        <v>-595772.2116602771</v>
      </c>
      <c r="I43" s="7">
        <f t="shared" si="27"/>
        <v>-178313.63726286218</v>
      </c>
      <c r="J43" s="7">
        <f t="shared" si="27"/>
        <v>0</v>
      </c>
      <c r="K43" s="8">
        <f t="shared" si="27"/>
        <v>0</v>
      </c>
    </row>
    <row r="44" spans="2:11" ht="14.4">
      <c r="B44" s="11" t="s">
        <v>47</v>
      </c>
      <c r="C44" s="26"/>
      <c r="D44" s="27">
        <v>0</v>
      </c>
      <c r="E44" s="9">
        <f t="shared" ref="E44:F44" si="28">SUM(E41:E43,E$39,E$34,E$28)</f>
        <v>0</v>
      </c>
      <c r="F44" s="9">
        <f t="shared" si="28"/>
        <v>0</v>
      </c>
      <c r="G44" s="9">
        <f t="shared" ref="G44:K44" si="29">-SUM(G41:G43,G$39,G$34,G$28)</f>
        <v>0</v>
      </c>
      <c r="H44" s="9">
        <f t="shared" si="29"/>
        <v>0</v>
      </c>
      <c r="I44" s="9">
        <f t="shared" si="29"/>
        <v>-447065.12564559374</v>
      </c>
      <c r="J44" s="9">
        <f t="shared" si="29"/>
        <v>-1936697.5190333296</v>
      </c>
      <c r="K44" s="10">
        <f t="shared" si="29"/>
        <v>-2205159.1361774858</v>
      </c>
    </row>
    <row r="45" spans="2:11" ht="14.4">
      <c r="B45" s="1"/>
      <c r="D45" s="28"/>
      <c r="E45" s="28"/>
      <c r="F45" s="28"/>
      <c r="G45" s="28"/>
      <c r="H45" s="28"/>
      <c r="I45" s="28"/>
      <c r="J45" s="28"/>
      <c r="K45" s="3"/>
    </row>
    <row r="46" spans="2:11" ht="14.4">
      <c r="B46" s="16" t="s">
        <v>48</v>
      </c>
      <c r="C46" s="17"/>
      <c r="D46" s="18">
        <v>2025</v>
      </c>
      <c r="E46" s="18">
        <v>2026</v>
      </c>
      <c r="F46" s="18">
        <v>2027</v>
      </c>
      <c r="G46" s="18">
        <v>2028</v>
      </c>
      <c r="H46" s="18">
        <v>2029</v>
      </c>
      <c r="I46" s="18">
        <v>2030</v>
      </c>
      <c r="J46" s="18">
        <v>2031</v>
      </c>
      <c r="K46" s="19">
        <f>1+J46</f>
        <v>2032</v>
      </c>
    </row>
    <row r="47" spans="2:11" ht="14.4">
      <c r="B47" s="29" t="s">
        <v>6</v>
      </c>
      <c r="D47" s="24">
        <f>0.25+D48</f>
        <v>0.255</v>
      </c>
      <c r="E47" s="24">
        <f t="shared" ref="E47:H47" si="30">D47+E48</f>
        <v>0.26</v>
      </c>
      <c r="F47" s="24">
        <f t="shared" si="30"/>
        <v>0.26500000000000001</v>
      </c>
      <c r="G47" s="24">
        <f t="shared" si="30"/>
        <v>0.27</v>
      </c>
      <c r="H47" s="24">
        <f t="shared" si="30"/>
        <v>0.27500000000000002</v>
      </c>
      <c r="I47" s="24">
        <f t="shared" ref="I47:K47" si="31">H47</f>
        <v>0.27500000000000002</v>
      </c>
      <c r="J47" s="24">
        <f t="shared" si="31"/>
        <v>0.27500000000000002</v>
      </c>
      <c r="K47" s="30">
        <f t="shared" si="31"/>
        <v>0.27500000000000002</v>
      </c>
    </row>
    <row r="48" spans="2:11" ht="14.4">
      <c r="B48" s="29"/>
      <c r="D48" s="31">
        <f t="shared" ref="D48:H48" si="32">0.025/5</f>
        <v>5.0000000000000001E-3</v>
      </c>
      <c r="E48" s="31">
        <f t="shared" si="32"/>
        <v>5.0000000000000001E-3</v>
      </c>
      <c r="F48" s="31">
        <f t="shared" si="32"/>
        <v>5.0000000000000001E-3</v>
      </c>
      <c r="G48" s="31">
        <f t="shared" si="32"/>
        <v>5.0000000000000001E-3</v>
      </c>
      <c r="H48" s="31">
        <f t="shared" si="32"/>
        <v>5.0000000000000001E-3</v>
      </c>
      <c r="I48" s="24">
        <v>0</v>
      </c>
      <c r="J48" s="24">
        <v>0</v>
      </c>
      <c r="K48" s="30">
        <v>0</v>
      </c>
    </row>
    <row r="49" spans="2:12" ht="14.4">
      <c r="B49" s="29" t="s">
        <v>7</v>
      </c>
      <c r="D49" s="24">
        <f>0.375+D50</f>
        <v>0.34499999999999997</v>
      </c>
      <c r="E49" s="24">
        <f t="shared" ref="E49:H49" si="33">D49+E50</f>
        <v>0.31499999999999995</v>
      </c>
      <c r="F49" s="24">
        <f t="shared" si="33"/>
        <v>0.28499999999999992</v>
      </c>
      <c r="G49" s="24">
        <f t="shared" si="33"/>
        <v>0.25499999999999989</v>
      </c>
      <c r="H49" s="24">
        <f t="shared" si="33"/>
        <v>0.22499999999999989</v>
      </c>
      <c r="I49" s="24">
        <f t="shared" ref="I49:K49" si="34">H49</f>
        <v>0.22499999999999989</v>
      </c>
      <c r="J49" s="24">
        <f t="shared" si="34"/>
        <v>0.22499999999999989</v>
      </c>
      <c r="K49" s="30">
        <f t="shared" si="34"/>
        <v>0.22499999999999989</v>
      </c>
    </row>
    <row r="50" spans="2:12" ht="14.4">
      <c r="B50" s="29"/>
      <c r="D50" s="31">
        <f>-(0.375-0.225)/5</f>
        <v>-0.03</v>
      </c>
      <c r="E50" s="31">
        <f t="shared" ref="E50:H50" si="35">D50</f>
        <v>-0.03</v>
      </c>
      <c r="F50" s="31">
        <f t="shared" si="35"/>
        <v>-0.03</v>
      </c>
      <c r="G50" s="31">
        <f t="shared" si="35"/>
        <v>-0.03</v>
      </c>
      <c r="H50" s="31">
        <f t="shared" si="35"/>
        <v>-0.03</v>
      </c>
      <c r="I50" s="24">
        <v>0</v>
      </c>
      <c r="J50" s="24">
        <v>0</v>
      </c>
      <c r="K50" s="25">
        <v>0</v>
      </c>
    </row>
    <row r="51" spans="2:12" ht="14.4">
      <c r="B51" s="29" t="s">
        <v>8</v>
      </c>
      <c r="D51" s="24">
        <f>0.375+D52</f>
        <v>0.4</v>
      </c>
      <c r="E51" s="24">
        <f t="shared" ref="E51:H51" si="36">D51+E52</f>
        <v>0.42500000000000004</v>
      </c>
      <c r="F51" s="24">
        <f t="shared" si="36"/>
        <v>0.45000000000000007</v>
      </c>
      <c r="G51" s="24">
        <f t="shared" si="36"/>
        <v>0.47500000000000009</v>
      </c>
      <c r="H51" s="24">
        <f t="shared" si="36"/>
        <v>0.50000000000000011</v>
      </c>
      <c r="I51" s="24">
        <f t="shared" ref="I51:K51" si="37">H51</f>
        <v>0.50000000000000011</v>
      </c>
      <c r="J51" s="24">
        <f t="shared" si="37"/>
        <v>0.50000000000000011</v>
      </c>
      <c r="K51" s="25">
        <f t="shared" si="37"/>
        <v>0.50000000000000011</v>
      </c>
    </row>
    <row r="52" spans="2:12" ht="14.4">
      <c r="B52" s="32"/>
      <c r="C52" s="26"/>
      <c r="D52" s="33">
        <f t="shared" ref="D52:H52" si="38">-D50-D48</f>
        <v>2.4999999999999998E-2</v>
      </c>
      <c r="E52" s="33">
        <f t="shared" si="38"/>
        <v>2.4999999999999998E-2</v>
      </c>
      <c r="F52" s="33">
        <f t="shared" si="38"/>
        <v>2.4999999999999998E-2</v>
      </c>
      <c r="G52" s="33">
        <f t="shared" si="38"/>
        <v>2.4999999999999998E-2</v>
      </c>
      <c r="H52" s="33">
        <f t="shared" si="38"/>
        <v>2.4999999999999998E-2</v>
      </c>
      <c r="I52" s="34">
        <v>0</v>
      </c>
      <c r="J52" s="34">
        <v>0</v>
      </c>
      <c r="K52" s="35">
        <v>0</v>
      </c>
    </row>
    <row r="53" spans="2:12" ht="13.8">
      <c r="B53" s="1"/>
      <c r="D53" s="2"/>
      <c r="E53" s="2"/>
      <c r="F53" s="2"/>
      <c r="G53" s="2"/>
      <c r="H53" s="2"/>
      <c r="I53" s="2"/>
      <c r="J53" s="2"/>
      <c r="K53" s="2"/>
      <c r="L53" s="2"/>
    </row>
    <row r="54" spans="2:12" ht="14.4">
      <c r="B54" s="16" t="s">
        <v>49</v>
      </c>
      <c r="C54" s="17"/>
      <c r="D54" s="18">
        <f t="shared" ref="D54:K54" si="39">D46</f>
        <v>2025</v>
      </c>
      <c r="E54" s="18">
        <f t="shared" si="39"/>
        <v>2026</v>
      </c>
      <c r="F54" s="18">
        <f t="shared" si="39"/>
        <v>2027</v>
      </c>
      <c r="G54" s="18">
        <f t="shared" si="39"/>
        <v>2028</v>
      </c>
      <c r="H54" s="18">
        <f t="shared" si="39"/>
        <v>2029</v>
      </c>
      <c r="I54" s="18">
        <f t="shared" si="39"/>
        <v>2030</v>
      </c>
      <c r="J54" s="18">
        <f t="shared" si="39"/>
        <v>2031</v>
      </c>
      <c r="K54" s="19">
        <f t="shared" si="39"/>
        <v>2032</v>
      </c>
    </row>
    <row r="55" spans="2:12" ht="14.4" outlineLevel="1">
      <c r="B55" s="29" t="s">
        <v>50</v>
      </c>
      <c r="D55" s="7">
        <f t="shared" ref="D55:K55" si="40">-D41</f>
        <v>300000</v>
      </c>
      <c r="E55" s="7">
        <f t="shared" si="40"/>
        <v>300000</v>
      </c>
      <c r="F55" s="7">
        <f t="shared" si="40"/>
        <v>300000</v>
      </c>
      <c r="G55" s="7">
        <f t="shared" si="40"/>
        <v>300000</v>
      </c>
      <c r="H55" s="7">
        <f t="shared" si="40"/>
        <v>300000</v>
      </c>
      <c r="I55" s="7">
        <f t="shared" si="40"/>
        <v>300000</v>
      </c>
      <c r="J55" s="7">
        <f t="shared" si="40"/>
        <v>300000</v>
      </c>
      <c r="K55" s="8">
        <f t="shared" si="40"/>
        <v>300000</v>
      </c>
    </row>
    <row r="56" spans="2:12" ht="14.4" outlineLevel="1">
      <c r="B56" s="29" t="s">
        <v>51</v>
      </c>
      <c r="D56" s="7">
        <f>(D34+D39)*D47</f>
        <v>0</v>
      </c>
      <c r="E56" s="7">
        <f t="shared" ref="E56:K56" si="41">-(E34+E39)*E47</f>
        <v>120293.17366799685</v>
      </c>
      <c r="F56" s="7">
        <f t="shared" si="41"/>
        <v>443179.32458500896</v>
      </c>
      <c r="G56" s="7">
        <f t="shared" si="41"/>
        <v>486930.15053319163</v>
      </c>
      <c r="H56" s="7">
        <f t="shared" si="41"/>
        <v>533989.9367508787</v>
      </c>
      <c r="I56" s="7">
        <f t="shared" si="41"/>
        <v>601645.0101576295</v>
      </c>
      <c r="J56" s="7">
        <f t="shared" si="41"/>
        <v>641381.36966896325</v>
      </c>
      <c r="K56" s="8">
        <f t="shared" si="41"/>
        <v>676191.12964182044</v>
      </c>
    </row>
    <row r="57" spans="2:12" ht="14.4" outlineLevel="1">
      <c r="B57" s="29" t="s">
        <v>52</v>
      </c>
      <c r="D57" s="7">
        <f t="shared" ref="D57:K57" si="42">-(D42*D47)</f>
        <v>102000</v>
      </c>
      <c r="E57" s="7">
        <f t="shared" si="42"/>
        <v>130000</v>
      </c>
      <c r="F57" s="7">
        <f t="shared" si="42"/>
        <v>159000</v>
      </c>
      <c r="G57" s="7">
        <f t="shared" si="42"/>
        <v>202500</v>
      </c>
      <c r="H57" s="7">
        <f t="shared" si="42"/>
        <v>206250.00000000003</v>
      </c>
      <c r="I57" s="7">
        <f t="shared" si="42"/>
        <v>206250.00000000003</v>
      </c>
      <c r="J57" s="7">
        <f t="shared" si="42"/>
        <v>206250.00000000003</v>
      </c>
      <c r="K57" s="8">
        <f t="shared" si="42"/>
        <v>206250.00000000003</v>
      </c>
    </row>
    <row r="58" spans="2:12" ht="14.4" outlineLevel="1">
      <c r="B58" s="29" t="s">
        <v>53</v>
      </c>
      <c r="D58" s="7">
        <f t="shared" ref="D58:K58" si="43">-D44*D47</f>
        <v>0</v>
      </c>
      <c r="E58" s="7">
        <f t="shared" si="43"/>
        <v>0</v>
      </c>
      <c r="F58" s="7">
        <f t="shared" si="43"/>
        <v>0</v>
      </c>
      <c r="G58" s="7">
        <f t="shared" si="43"/>
        <v>0</v>
      </c>
      <c r="H58" s="7">
        <f t="shared" si="43"/>
        <v>0</v>
      </c>
      <c r="I58" s="7">
        <f t="shared" si="43"/>
        <v>122942.90955253829</v>
      </c>
      <c r="J58" s="7">
        <f t="shared" si="43"/>
        <v>532591.8177341657</v>
      </c>
      <c r="K58" s="8">
        <f t="shared" si="43"/>
        <v>606418.76244880864</v>
      </c>
    </row>
    <row r="59" spans="2:12" ht="14.4">
      <c r="B59" s="29" t="s">
        <v>54</v>
      </c>
      <c r="D59" s="7">
        <f t="shared" ref="D59:K59" si="44">SUM(D55:D58)</f>
        <v>402000</v>
      </c>
      <c r="E59" s="7">
        <f t="shared" si="44"/>
        <v>550293.17366799689</v>
      </c>
      <c r="F59" s="7">
        <f t="shared" si="44"/>
        <v>902179.3245850089</v>
      </c>
      <c r="G59" s="7">
        <f t="shared" si="44"/>
        <v>989430.15053319163</v>
      </c>
      <c r="H59" s="7">
        <f t="shared" si="44"/>
        <v>1040239.9367508787</v>
      </c>
      <c r="I59" s="7">
        <f t="shared" si="44"/>
        <v>1230837.9197101679</v>
      </c>
      <c r="J59" s="7">
        <f t="shared" si="44"/>
        <v>1680223.1874031289</v>
      </c>
      <c r="K59" s="8">
        <f t="shared" si="44"/>
        <v>1788859.8920906291</v>
      </c>
      <c r="L59" s="2"/>
    </row>
    <row r="60" spans="2:12" ht="14.4" outlineLevel="1">
      <c r="B60" s="29" t="s">
        <v>55</v>
      </c>
      <c r="D60" s="7">
        <f t="shared" ref="D60:K60" si="45">-(D34+D39)*D49</f>
        <v>0</v>
      </c>
      <c r="E60" s="7">
        <f t="shared" si="45"/>
        <v>145739.80655930383</v>
      </c>
      <c r="F60" s="7">
        <f t="shared" si="45"/>
        <v>476626.82078010379</v>
      </c>
      <c r="G60" s="7">
        <f t="shared" si="45"/>
        <v>459878.47550356964</v>
      </c>
      <c r="H60" s="7">
        <f t="shared" si="45"/>
        <v>436900.85734162776</v>
      </c>
      <c r="I60" s="7">
        <f t="shared" si="45"/>
        <v>492255.0083107875</v>
      </c>
      <c r="J60" s="7">
        <f t="shared" si="45"/>
        <v>524766.57518369693</v>
      </c>
      <c r="K60" s="8">
        <f t="shared" si="45"/>
        <v>553247.28788876184</v>
      </c>
      <c r="L60" s="2"/>
    </row>
    <row r="61" spans="2:12" ht="14.4" outlineLevel="1">
      <c r="B61" s="29" t="s">
        <v>56</v>
      </c>
      <c r="D61" s="7">
        <f t="shared" ref="D61:K61" si="46">-D42*D49</f>
        <v>138000</v>
      </c>
      <c r="E61" s="7">
        <f t="shared" si="46"/>
        <v>157499.99999999997</v>
      </c>
      <c r="F61" s="7">
        <f t="shared" si="46"/>
        <v>170999.99999999994</v>
      </c>
      <c r="G61" s="7">
        <f t="shared" si="46"/>
        <v>191249.99999999991</v>
      </c>
      <c r="H61" s="7">
        <f t="shared" si="46"/>
        <v>168749.99999999991</v>
      </c>
      <c r="I61" s="7">
        <f t="shared" si="46"/>
        <v>168749.99999999991</v>
      </c>
      <c r="J61" s="7">
        <f t="shared" si="46"/>
        <v>168749.99999999991</v>
      </c>
      <c r="K61" s="8">
        <f t="shared" si="46"/>
        <v>168749.99999999991</v>
      </c>
      <c r="L61" s="2"/>
    </row>
    <row r="62" spans="2:12" ht="14.4" outlineLevel="1">
      <c r="B62" s="29" t="s">
        <v>57</v>
      </c>
      <c r="D62" s="7">
        <f t="shared" ref="D62:K62" si="47">-D43/2</f>
        <v>109536.67585137859</v>
      </c>
      <c r="E62" s="7">
        <f t="shared" si="47"/>
        <v>628776.50570652925</v>
      </c>
      <c r="F62" s="7">
        <f t="shared" si="47"/>
        <v>251339.49504526891</v>
      </c>
      <c r="G62" s="7">
        <f t="shared" si="47"/>
        <v>235804.39893525362</v>
      </c>
      <c r="H62" s="7">
        <f t="shared" si="47"/>
        <v>297886.10583013855</v>
      </c>
      <c r="I62" s="7">
        <f t="shared" si="47"/>
        <v>89156.818631431088</v>
      </c>
      <c r="J62" s="7">
        <f t="shared" si="47"/>
        <v>0</v>
      </c>
      <c r="K62" s="8">
        <f t="shared" si="47"/>
        <v>0</v>
      </c>
      <c r="L62" s="2"/>
    </row>
    <row r="63" spans="2:12" ht="14.4" outlineLevel="1">
      <c r="B63" s="29" t="s">
        <v>58</v>
      </c>
      <c r="D63" s="7">
        <f t="shared" ref="D63:K63" si="48">-D44*D49</f>
        <v>0</v>
      </c>
      <c r="E63" s="7">
        <f t="shared" si="48"/>
        <v>0</v>
      </c>
      <c r="F63" s="7">
        <f t="shared" si="48"/>
        <v>0</v>
      </c>
      <c r="G63" s="7">
        <f t="shared" si="48"/>
        <v>0</v>
      </c>
      <c r="H63" s="7">
        <f t="shared" si="48"/>
        <v>0</v>
      </c>
      <c r="I63" s="7">
        <f t="shared" si="48"/>
        <v>100589.65327025854</v>
      </c>
      <c r="J63" s="7">
        <f t="shared" si="48"/>
        <v>435756.94178249897</v>
      </c>
      <c r="K63" s="8">
        <f t="shared" si="48"/>
        <v>496160.80563993409</v>
      </c>
      <c r="L63" s="2"/>
    </row>
    <row r="64" spans="2:12" ht="14.4" outlineLevel="1">
      <c r="B64" s="29" t="s">
        <v>59</v>
      </c>
      <c r="D64" s="7">
        <f t="shared" ref="D64:K64" si="49">SUM(D60:D63)</f>
        <v>247536.67585137859</v>
      </c>
      <c r="E64" s="7">
        <f t="shared" si="49"/>
        <v>932016.31226583302</v>
      </c>
      <c r="F64" s="7">
        <f t="shared" si="49"/>
        <v>898966.3158253727</v>
      </c>
      <c r="G64" s="7">
        <f t="shared" si="49"/>
        <v>886932.8744388232</v>
      </c>
      <c r="H64" s="7">
        <f t="shared" si="49"/>
        <v>903536.96317176626</v>
      </c>
      <c r="I64" s="7">
        <f t="shared" si="49"/>
        <v>850751.48021247704</v>
      </c>
      <c r="J64" s="7">
        <f t="shared" si="49"/>
        <v>1129273.5169661958</v>
      </c>
      <c r="K64" s="8">
        <f t="shared" si="49"/>
        <v>1218158.0935286959</v>
      </c>
      <c r="L64" s="2"/>
    </row>
    <row r="65" spans="2:12" ht="14.4" outlineLevel="1">
      <c r="B65" s="29" t="s">
        <v>60</v>
      </c>
      <c r="D65" s="7">
        <v>8000000</v>
      </c>
      <c r="E65" s="7">
        <f>(D65+F65)/2</f>
        <v>9750000</v>
      </c>
      <c r="F65" s="7">
        <v>11500000</v>
      </c>
      <c r="G65" s="7">
        <f>(F65+H65)/2</f>
        <v>13250000</v>
      </c>
      <c r="H65" s="7">
        <v>15000000</v>
      </c>
      <c r="I65" s="7">
        <v>0</v>
      </c>
      <c r="J65" s="7">
        <v>0</v>
      </c>
      <c r="K65" s="8">
        <v>0</v>
      </c>
      <c r="L65" s="2"/>
    </row>
    <row r="66" spans="2:12" ht="14.4" outlineLevel="1">
      <c r="B66" s="29" t="s">
        <v>61</v>
      </c>
      <c r="D66" s="36">
        <f>-D65*(D50+D48/2)-20000</f>
        <v>200000</v>
      </c>
      <c r="E66" s="7">
        <f t="shared" ref="E66:K66" si="50">-E65*(E50+E48/2)</f>
        <v>268125</v>
      </c>
      <c r="F66" s="7">
        <f t="shared" si="50"/>
        <v>316250</v>
      </c>
      <c r="G66" s="7">
        <f t="shared" si="50"/>
        <v>364375</v>
      </c>
      <c r="H66" s="7">
        <f t="shared" si="50"/>
        <v>412500</v>
      </c>
      <c r="I66" s="7">
        <f t="shared" si="50"/>
        <v>0</v>
      </c>
      <c r="J66" s="7">
        <f t="shared" si="50"/>
        <v>0</v>
      </c>
      <c r="K66" s="8">
        <f t="shared" si="50"/>
        <v>0</v>
      </c>
      <c r="L66" s="37"/>
    </row>
    <row r="67" spans="2:12" ht="14.4" collapsed="1">
      <c r="B67" s="29" t="s">
        <v>62</v>
      </c>
      <c r="D67" s="7">
        <f t="shared" ref="D67:K67" si="51">D64+D66</f>
        <v>447536.67585137859</v>
      </c>
      <c r="E67" s="7">
        <f t="shared" si="51"/>
        <v>1200141.3122658329</v>
      </c>
      <c r="F67" s="7">
        <f t="shared" si="51"/>
        <v>1215216.3158253727</v>
      </c>
      <c r="G67" s="7">
        <f t="shared" si="51"/>
        <v>1251307.8744388232</v>
      </c>
      <c r="H67" s="7">
        <f t="shared" si="51"/>
        <v>1316036.9631717661</v>
      </c>
      <c r="I67" s="7">
        <f t="shared" si="51"/>
        <v>850751.48021247704</v>
      </c>
      <c r="J67" s="7">
        <f t="shared" si="51"/>
        <v>1129273.5169661958</v>
      </c>
      <c r="K67" s="8">
        <f t="shared" si="51"/>
        <v>1218158.0935286959</v>
      </c>
      <c r="L67" s="37"/>
    </row>
    <row r="68" spans="2:12" ht="14.4" hidden="1" outlineLevel="1">
      <c r="B68" s="29" t="s">
        <v>63</v>
      </c>
      <c r="D68" s="7">
        <f t="shared" ref="D68:K68" si="52">-(D34+D39)*D51</f>
        <v>0</v>
      </c>
      <c r="E68" s="7">
        <f t="shared" si="52"/>
        <v>196633.07234191793</v>
      </c>
      <c r="F68" s="7">
        <f t="shared" si="52"/>
        <v>752568.66438963788</v>
      </c>
      <c r="G68" s="7">
        <f t="shared" si="52"/>
        <v>856636.37593802239</v>
      </c>
      <c r="H68" s="7">
        <f t="shared" si="52"/>
        <v>970890.79409250687</v>
      </c>
      <c r="I68" s="7">
        <f t="shared" si="52"/>
        <v>1093900.0184684175</v>
      </c>
      <c r="J68" s="7">
        <f t="shared" si="52"/>
        <v>1166147.9448526606</v>
      </c>
      <c r="K68" s="8">
        <f t="shared" si="52"/>
        <v>1229438.4175305828</v>
      </c>
      <c r="L68" s="37"/>
    </row>
    <row r="69" spans="2:12" ht="14.4" hidden="1" outlineLevel="1">
      <c r="B69" s="29" t="s">
        <v>64</v>
      </c>
      <c r="D69" s="7">
        <f t="shared" ref="D69:K69" si="53">-D42*D51</f>
        <v>160000</v>
      </c>
      <c r="E69" s="7">
        <f t="shared" si="53"/>
        <v>212500.00000000003</v>
      </c>
      <c r="F69" s="7">
        <f t="shared" si="53"/>
        <v>270000.00000000006</v>
      </c>
      <c r="G69" s="7">
        <f t="shared" si="53"/>
        <v>356250.00000000006</v>
      </c>
      <c r="H69" s="7">
        <f t="shared" si="53"/>
        <v>375000.00000000006</v>
      </c>
      <c r="I69" s="7">
        <f t="shared" si="53"/>
        <v>375000.00000000006</v>
      </c>
      <c r="J69" s="7">
        <f t="shared" si="53"/>
        <v>375000.00000000006</v>
      </c>
      <c r="K69" s="8">
        <f t="shared" si="53"/>
        <v>375000.00000000006</v>
      </c>
      <c r="L69" s="37"/>
    </row>
    <row r="70" spans="2:12" ht="14.4" hidden="1" outlineLevel="1">
      <c r="B70" s="29" t="s">
        <v>65</v>
      </c>
      <c r="D70" s="7">
        <f t="shared" ref="D70:K70" si="54">D62</f>
        <v>109536.67585137859</v>
      </c>
      <c r="E70" s="7">
        <f t="shared" si="54"/>
        <v>628776.50570652925</v>
      </c>
      <c r="F70" s="7">
        <f t="shared" si="54"/>
        <v>251339.49504526891</v>
      </c>
      <c r="G70" s="7">
        <f t="shared" si="54"/>
        <v>235804.39893525362</v>
      </c>
      <c r="H70" s="7">
        <f t="shared" si="54"/>
        <v>297886.10583013855</v>
      </c>
      <c r="I70" s="7">
        <f t="shared" si="54"/>
        <v>89156.818631431088</v>
      </c>
      <c r="J70" s="7">
        <f t="shared" si="54"/>
        <v>0</v>
      </c>
      <c r="K70" s="8">
        <f t="shared" si="54"/>
        <v>0</v>
      </c>
      <c r="L70" s="37"/>
    </row>
    <row r="71" spans="2:12" ht="14.4" hidden="1" outlineLevel="1">
      <c r="B71" s="29" t="s">
        <v>66</v>
      </c>
      <c r="D71" s="7">
        <f t="shared" ref="D71:K71" si="55">-D44*D51</f>
        <v>0</v>
      </c>
      <c r="E71" s="7">
        <f t="shared" si="55"/>
        <v>0</v>
      </c>
      <c r="F71" s="7">
        <f t="shared" si="55"/>
        <v>0</v>
      </c>
      <c r="G71" s="7">
        <f t="shared" si="55"/>
        <v>0</v>
      </c>
      <c r="H71" s="7">
        <f t="shared" si="55"/>
        <v>0</v>
      </c>
      <c r="I71" s="7">
        <f t="shared" si="55"/>
        <v>223532.56282279693</v>
      </c>
      <c r="J71" s="7">
        <f t="shared" si="55"/>
        <v>968348.75951666501</v>
      </c>
      <c r="K71" s="8">
        <f t="shared" si="55"/>
        <v>1102579.5680887431</v>
      </c>
      <c r="L71" s="37"/>
    </row>
    <row r="72" spans="2:12" ht="14.4" hidden="1" outlineLevel="1">
      <c r="B72" s="29" t="s">
        <v>67</v>
      </c>
      <c r="D72" s="7">
        <f t="shared" ref="D72:K72" si="56">SUM(D68:D71)</f>
        <v>269536.67585137859</v>
      </c>
      <c r="E72" s="7">
        <f t="shared" si="56"/>
        <v>1037909.5780484471</v>
      </c>
      <c r="F72" s="7">
        <f t="shared" si="56"/>
        <v>1273908.1594349069</v>
      </c>
      <c r="G72" s="7">
        <f t="shared" si="56"/>
        <v>1448690.7748732762</v>
      </c>
      <c r="H72" s="7">
        <f t="shared" si="56"/>
        <v>1643776.8999226454</v>
      </c>
      <c r="I72" s="7">
        <f t="shared" si="56"/>
        <v>1781589.3999226454</v>
      </c>
      <c r="J72" s="7">
        <f t="shared" si="56"/>
        <v>2509496.7043693257</v>
      </c>
      <c r="K72" s="8">
        <f t="shared" si="56"/>
        <v>2707017.9856193261</v>
      </c>
      <c r="L72" s="2"/>
    </row>
    <row r="73" spans="2:12" ht="13.8" hidden="1" outlineLevel="1">
      <c r="B73" s="29" t="s">
        <v>68</v>
      </c>
      <c r="D73" s="2">
        <f t="shared" ref="D73:K73" si="57">-D66</f>
        <v>-200000</v>
      </c>
      <c r="E73" s="2">
        <f t="shared" si="57"/>
        <v>-268125</v>
      </c>
      <c r="F73" s="2">
        <f t="shared" si="57"/>
        <v>-316250</v>
      </c>
      <c r="G73" s="2">
        <f t="shared" si="57"/>
        <v>-364375</v>
      </c>
      <c r="H73" s="2">
        <f t="shared" si="57"/>
        <v>-412500</v>
      </c>
      <c r="I73" s="2">
        <f t="shared" si="57"/>
        <v>0</v>
      </c>
      <c r="J73" s="2">
        <f t="shared" si="57"/>
        <v>0</v>
      </c>
      <c r="K73" s="38">
        <f t="shared" si="57"/>
        <v>0</v>
      </c>
      <c r="L73" s="2"/>
    </row>
    <row r="74" spans="2:12" ht="13.8">
      <c r="B74" s="32" t="s">
        <v>69</v>
      </c>
      <c r="C74" s="26"/>
      <c r="D74" s="39">
        <f t="shared" ref="D74:K74" si="58">D72+D73</f>
        <v>69536.67585137859</v>
      </c>
      <c r="E74" s="39">
        <f t="shared" si="58"/>
        <v>769784.57804844715</v>
      </c>
      <c r="F74" s="39">
        <f t="shared" si="58"/>
        <v>957658.15943490691</v>
      </c>
      <c r="G74" s="39">
        <f t="shared" si="58"/>
        <v>1084315.7748732762</v>
      </c>
      <c r="H74" s="39">
        <f t="shared" si="58"/>
        <v>1231276.8999226454</v>
      </c>
      <c r="I74" s="39">
        <f t="shared" si="58"/>
        <v>1781589.3999226454</v>
      </c>
      <c r="J74" s="39">
        <f t="shared" si="58"/>
        <v>2509496.7043693257</v>
      </c>
      <c r="K74" s="40">
        <f t="shared" si="58"/>
        <v>2707017.9856193261</v>
      </c>
      <c r="L74" s="2"/>
    </row>
    <row r="75" spans="2:12" ht="13.8">
      <c r="C75" s="1"/>
      <c r="D75" s="2"/>
      <c r="E75" s="2"/>
      <c r="F75" s="2"/>
      <c r="G75" s="2"/>
      <c r="H75" s="2"/>
      <c r="I75" s="2"/>
      <c r="J75" s="2"/>
      <c r="K75" s="2"/>
      <c r="L75" s="2"/>
    </row>
    <row r="76" spans="2:12" ht="13.8">
      <c r="C76" s="1"/>
    </row>
    <row r="77" spans="2:12" ht="13.8">
      <c r="B77" s="15" t="s">
        <v>70</v>
      </c>
      <c r="C77" s="1"/>
    </row>
    <row r="78" spans="2:12" ht="13.8">
      <c r="C78" s="1"/>
    </row>
    <row r="79" spans="2:12" ht="14.4">
      <c r="B79" s="1" t="s">
        <v>71</v>
      </c>
      <c r="C79" s="1"/>
      <c r="D79" s="18">
        <v>2024</v>
      </c>
      <c r="E79" s="18">
        <v>2025</v>
      </c>
      <c r="F79" s="18">
        <v>2026</v>
      </c>
      <c r="G79" s="18">
        <v>2027</v>
      </c>
      <c r="H79" s="18">
        <v>2028</v>
      </c>
      <c r="I79" s="18">
        <v>2029</v>
      </c>
      <c r="J79" s="1"/>
      <c r="K79" s="1"/>
    </row>
    <row r="80" spans="2:12" ht="13.8">
      <c r="B80" s="1" t="s">
        <v>72</v>
      </c>
      <c r="C80" s="1"/>
      <c r="E80" s="2">
        <v>600000</v>
      </c>
      <c r="F80" s="2">
        <v>400000</v>
      </c>
      <c r="G80" s="2">
        <v>500000</v>
      </c>
      <c r="H80" s="2">
        <v>500000</v>
      </c>
      <c r="I80" s="2">
        <v>600000</v>
      </c>
    </row>
    <row r="81" spans="2:9" ht="13.8">
      <c r="B81" s="1" t="s">
        <v>73</v>
      </c>
      <c r="C81" s="1"/>
      <c r="D81" s="41"/>
      <c r="E81" s="2">
        <f>E80</f>
        <v>600000</v>
      </c>
      <c r="F81" s="2">
        <f t="shared" ref="F81:I81" si="59">E81+F80</f>
        <v>1000000</v>
      </c>
      <c r="G81" s="2">
        <f t="shared" si="59"/>
        <v>1500000</v>
      </c>
      <c r="H81" s="2">
        <f t="shared" si="59"/>
        <v>2000000</v>
      </c>
      <c r="I81" s="2">
        <f t="shared" si="59"/>
        <v>2600000</v>
      </c>
    </row>
    <row r="82" spans="2:9" ht="13.8">
      <c r="B82" s="1" t="s">
        <v>74</v>
      </c>
      <c r="C82" s="1"/>
      <c r="D82" s="3">
        <v>0.25</v>
      </c>
      <c r="E82" s="3">
        <v>0.255</v>
      </c>
      <c r="F82" s="3">
        <f t="shared" ref="F82:I82" si="60">E82+0.005</f>
        <v>0.26</v>
      </c>
      <c r="G82" s="3">
        <f t="shared" si="60"/>
        <v>0.26500000000000001</v>
      </c>
      <c r="H82" s="3">
        <f t="shared" si="60"/>
        <v>0.27</v>
      </c>
      <c r="I82" s="3">
        <f t="shared" si="60"/>
        <v>0.27500000000000002</v>
      </c>
    </row>
    <row r="83" spans="2:9" ht="13.8">
      <c r="D83" s="3"/>
      <c r="E83" s="3"/>
      <c r="F83" s="3"/>
      <c r="G83" s="3"/>
      <c r="H83" s="3"/>
      <c r="I83" s="3"/>
    </row>
    <row r="84" spans="2:9" ht="14.4">
      <c r="B84" s="1" t="s">
        <v>75</v>
      </c>
      <c r="C84" s="1"/>
      <c r="D84" s="18">
        <v>2024</v>
      </c>
      <c r="E84" s="18">
        <v>2025</v>
      </c>
      <c r="F84" s="18">
        <v>2026</v>
      </c>
      <c r="G84" s="18">
        <v>2027</v>
      </c>
      <c r="H84" s="18">
        <v>2028</v>
      </c>
      <c r="I84" s="1"/>
    </row>
    <row r="85" spans="2:9" ht="13.8">
      <c r="B85" s="1" t="s">
        <v>72</v>
      </c>
      <c r="C85" s="1"/>
      <c r="E85" s="2">
        <v>600000</v>
      </c>
      <c r="F85" s="2">
        <v>700000</v>
      </c>
      <c r="G85" s="2">
        <v>750000</v>
      </c>
      <c r="H85" s="2">
        <v>500000</v>
      </c>
      <c r="I85" s="2"/>
    </row>
    <row r="86" spans="2:9" ht="13.8">
      <c r="B86" s="1" t="s">
        <v>73</v>
      </c>
      <c r="C86" s="1"/>
      <c r="D86" s="41"/>
      <c r="E86" s="2">
        <f>E85</f>
        <v>600000</v>
      </c>
      <c r="F86" s="2">
        <f t="shared" ref="F86:H86" si="61">E86+F85</f>
        <v>1300000</v>
      </c>
      <c r="G86" s="2">
        <f t="shared" si="61"/>
        <v>2050000</v>
      </c>
      <c r="H86" s="2">
        <f t="shared" si="61"/>
        <v>2550000</v>
      </c>
    </row>
    <row r="87" spans="2:9" ht="13.8">
      <c r="B87" s="1" t="s">
        <v>74</v>
      </c>
      <c r="C87" s="1"/>
      <c r="D87" s="3">
        <v>0.25</v>
      </c>
      <c r="E87" s="3">
        <v>0.255</v>
      </c>
      <c r="F87" s="3">
        <f>E87+0.005</f>
        <v>0.26</v>
      </c>
      <c r="G87" s="3">
        <f>F87+0.01</f>
        <v>0.27</v>
      </c>
      <c r="H87" s="3">
        <f>G87+0.005</f>
        <v>0.27500000000000002</v>
      </c>
      <c r="I87" s="3"/>
    </row>
    <row r="88" spans="2:9" ht="13.8">
      <c r="B88" s="1"/>
      <c r="C88" s="1"/>
      <c r="D88" s="1"/>
      <c r="E88" s="1"/>
      <c r="F88" s="1"/>
      <c r="G88" s="1"/>
      <c r="H88" s="1"/>
      <c r="I88" s="1"/>
    </row>
    <row r="89" spans="2:9" ht="14.4">
      <c r="B89" s="1" t="s">
        <v>76</v>
      </c>
      <c r="C89" s="1"/>
      <c r="D89" s="18">
        <v>2024</v>
      </c>
      <c r="E89" s="18">
        <v>2025</v>
      </c>
      <c r="F89" s="18">
        <v>2026</v>
      </c>
      <c r="G89" s="18">
        <v>2027</v>
      </c>
      <c r="H89" s="18">
        <v>2028</v>
      </c>
      <c r="I89" s="18">
        <v>2029</v>
      </c>
    </row>
    <row r="90" spans="2:9" ht="13.8">
      <c r="B90" s="1" t="s">
        <v>72</v>
      </c>
      <c r="C90" s="1"/>
      <c r="E90" s="2">
        <v>600000</v>
      </c>
      <c r="F90" s="2">
        <v>300000</v>
      </c>
      <c r="G90" s="2">
        <v>500000</v>
      </c>
      <c r="H90" s="2">
        <v>500000</v>
      </c>
      <c r="I90" s="2">
        <v>600000</v>
      </c>
    </row>
    <row r="91" spans="2:9" ht="13.8">
      <c r="B91" s="1" t="s">
        <v>73</v>
      </c>
      <c r="C91" s="1"/>
      <c r="D91" s="41"/>
      <c r="E91" s="2">
        <f>E90</f>
        <v>600000</v>
      </c>
      <c r="F91" s="2">
        <f t="shared" ref="F91:I91" si="62">E91+F90</f>
        <v>900000</v>
      </c>
      <c r="G91" s="2">
        <f t="shared" si="62"/>
        <v>1400000</v>
      </c>
      <c r="H91" s="2">
        <f t="shared" si="62"/>
        <v>1900000</v>
      </c>
      <c r="I91" s="2">
        <f t="shared" si="62"/>
        <v>2500000</v>
      </c>
    </row>
    <row r="92" spans="2:9" ht="13.8">
      <c r="B92" s="1" t="s">
        <v>74</v>
      </c>
      <c r="C92" s="1"/>
      <c r="D92" s="3">
        <v>0.25</v>
      </c>
      <c r="E92" s="3">
        <v>0.255</v>
      </c>
      <c r="F92" s="3">
        <f>E92</f>
        <v>0.255</v>
      </c>
      <c r="G92" s="3">
        <f t="shared" ref="G92:H92" si="63">F92+0.005</f>
        <v>0.26</v>
      </c>
      <c r="H92" s="3">
        <f t="shared" si="63"/>
        <v>0.26500000000000001</v>
      </c>
      <c r="I92" s="3">
        <f>H92+0.01</f>
        <v>0.27500000000000002</v>
      </c>
    </row>
    <row r="93" spans="2:9" ht="13.8">
      <c r="B93" s="1"/>
      <c r="C93" s="1"/>
      <c r="D93" s="1"/>
      <c r="E93" s="1"/>
      <c r="F93" s="1"/>
      <c r="G93" s="1"/>
      <c r="H93" s="1"/>
      <c r="I93" s="1"/>
    </row>
    <row r="94" spans="2:9" ht="13.8">
      <c r="D94" s="1"/>
      <c r="E94" s="1"/>
      <c r="F94" s="1"/>
      <c r="G94" s="1"/>
      <c r="H94" s="1"/>
      <c r="I94" s="1"/>
    </row>
    <row r="95" spans="2:9" ht="13.8">
      <c r="C95" s="1" t="s">
        <v>6</v>
      </c>
      <c r="D95" s="3">
        <v>0.25</v>
      </c>
      <c r="E95" s="3">
        <f t="shared" ref="E95:I95" si="64">D95+0.005</f>
        <v>0.255</v>
      </c>
      <c r="F95" s="3">
        <f t="shared" si="64"/>
        <v>0.26</v>
      </c>
      <c r="G95" s="3">
        <f t="shared" si="64"/>
        <v>0.26500000000000001</v>
      </c>
      <c r="H95" s="3">
        <f t="shared" si="64"/>
        <v>0.27</v>
      </c>
      <c r="I95" s="3">
        <f t="shared" si="64"/>
        <v>0.27500000000000002</v>
      </c>
    </row>
    <row r="96" spans="2:9" ht="13.8">
      <c r="C96" s="1" t="s">
        <v>7</v>
      </c>
      <c r="D96" s="3">
        <v>0.375</v>
      </c>
      <c r="E96" s="3">
        <f>D96-0.1375-0.0025</f>
        <v>0.23499999999999999</v>
      </c>
      <c r="F96" s="3">
        <f t="shared" ref="F96:H96" si="65">E96-0.0025</f>
        <v>0.23249999999999998</v>
      </c>
      <c r="G96" s="3">
        <f t="shared" si="65"/>
        <v>0.22999999999999998</v>
      </c>
      <c r="H96" s="3">
        <f t="shared" si="65"/>
        <v>0.22749999999999998</v>
      </c>
      <c r="I96" s="3">
        <v>0.22500000000000001</v>
      </c>
    </row>
    <row r="97" spans="3:9" ht="13.8">
      <c r="C97" s="1" t="s">
        <v>8</v>
      </c>
      <c r="D97" s="3">
        <v>0.375</v>
      </c>
      <c r="E97" s="3">
        <f>D97+0.1375-0.0025</f>
        <v>0.51</v>
      </c>
      <c r="F97" s="3">
        <f t="shared" ref="F97:H97" si="66">E97-0.0025</f>
        <v>0.50750000000000006</v>
      </c>
      <c r="G97" s="3">
        <f t="shared" si="66"/>
        <v>0.50500000000000012</v>
      </c>
      <c r="H97" s="3">
        <f t="shared" si="66"/>
        <v>0.50250000000000017</v>
      </c>
      <c r="I97" s="3">
        <v>0.5</v>
      </c>
    </row>
    <row r="98" spans="3:9" ht="13.8">
      <c r="D98" s="3">
        <f t="shared" ref="D98:I98" si="67">SUM(D95:D97)</f>
        <v>1</v>
      </c>
      <c r="E98" s="3">
        <f t="shared" si="67"/>
        <v>1</v>
      </c>
      <c r="F98" s="3">
        <f t="shared" si="67"/>
        <v>1</v>
      </c>
      <c r="G98" s="3">
        <f t="shared" si="67"/>
        <v>1</v>
      </c>
      <c r="H98" s="3">
        <f t="shared" si="67"/>
        <v>1.0000000000000002</v>
      </c>
      <c r="I98" s="3">
        <f t="shared" si="67"/>
        <v>1</v>
      </c>
    </row>
    <row r="99" spans="3:9" ht="13.8">
      <c r="D99" s="3">
        <f>D97+0.1375</f>
        <v>0.51249999999999996</v>
      </c>
    </row>
  </sheetData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B1:BX250"/>
  <sheetViews>
    <sheetView showGridLines="0" workbookViewId="0"/>
  </sheetViews>
  <sheetFormatPr defaultColWidth="12.59765625" defaultRowHeight="15" customHeight="1"/>
  <cols>
    <col min="1" max="1" width="3.69921875" customWidth="1"/>
    <col min="2" max="2" width="13.5" customWidth="1"/>
    <col min="3" max="8" width="10.09765625" customWidth="1"/>
    <col min="9" max="9" width="7" customWidth="1"/>
    <col min="10" max="33" width="7.59765625" customWidth="1"/>
    <col min="34" max="34" width="14.3984375" customWidth="1"/>
    <col min="35" max="55" width="7.59765625" customWidth="1"/>
    <col min="56" max="56" width="2.8984375" customWidth="1"/>
    <col min="57" max="59" width="7.59765625" customWidth="1"/>
    <col min="60" max="60" width="4.59765625" customWidth="1"/>
    <col min="61" max="76" width="7.59765625" customWidth="1"/>
  </cols>
  <sheetData>
    <row r="1" spans="2:76">
      <c r="B1" s="1" t="s">
        <v>11</v>
      </c>
      <c r="C1" s="42">
        <v>46023</v>
      </c>
    </row>
    <row r="2" spans="2:76">
      <c r="J2" s="1" t="s">
        <v>77</v>
      </c>
      <c r="N2" s="3">
        <v>4.2299999999999997E-2</v>
      </c>
      <c r="R2" s="1" t="s">
        <v>4</v>
      </c>
      <c r="U2" s="2">
        <f>T4+SUM(U4:U19)</f>
        <v>4312510.1899999995</v>
      </c>
      <c r="V2" s="43">
        <v>7.1199999999999999E-2</v>
      </c>
      <c r="Z2" s="1" t="s">
        <v>3</v>
      </c>
      <c r="AD2" s="3"/>
      <c r="AE2" s="3">
        <v>6.5000000000000002E-2</v>
      </c>
      <c r="AG2" s="44"/>
      <c r="AH2" s="44"/>
      <c r="AI2" s="1" t="s">
        <v>78</v>
      </c>
      <c r="AM2" s="3">
        <v>7.4999999999999997E-2</v>
      </c>
      <c r="AO2" s="1"/>
      <c r="AP2" s="1"/>
      <c r="AQ2" s="45" t="s">
        <v>79</v>
      </c>
      <c r="AR2" s="13"/>
      <c r="AS2" s="13"/>
      <c r="AT2" s="13"/>
      <c r="AU2" s="46">
        <v>7.4999999999999997E-2</v>
      </c>
      <c r="AV2" s="1"/>
      <c r="AW2" s="1" t="s">
        <v>80</v>
      </c>
      <c r="BA2" s="1" t="s">
        <v>81</v>
      </c>
      <c r="BE2" s="1" t="s">
        <v>82</v>
      </c>
      <c r="BI2" s="1" t="s">
        <v>83</v>
      </c>
      <c r="BN2" s="45" t="s">
        <v>84</v>
      </c>
      <c r="BO2" s="47"/>
      <c r="BP2" s="47"/>
      <c r="BQ2" s="46">
        <v>7.4999999999999997E-2</v>
      </c>
      <c r="BS2" s="45" t="s">
        <v>85</v>
      </c>
      <c r="BT2" s="13"/>
      <c r="BU2" s="13"/>
      <c r="BV2" s="13"/>
      <c r="BW2" s="46">
        <v>7.4999999999999997E-2</v>
      </c>
      <c r="BX2" s="48"/>
    </row>
    <row r="3" spans="2:76">
      <c r="B3" s="49" t="s">
        <v>86</v>
      </c>
      <c r="C3" s="50" t="s">
        <v>87</v>
      </c>
      <c r="D3" s="50" t="s">
        <v>88</v>
      </c>
      <c r="E3" s="51" t="s">
        <v>89</v>
      </c>
      <c r="F3" s="50" t="s">
        <v>8</v>
      </c>
      <c r="G3" s="50" t="s">
        <v>8</v>
      </c>
      <c r="H3" s="52" t="s">
        <v>2</v>
      </c>
      <c r="I3" s="2"/>
      <c r="J3" s="53" t="s">
        <v>90</v>
      </c>
      <c r="K3" s="54" t="s">
        <v>0</v>
      </c>
      <c r="L3" s="54" t="s">
        <v>91</v>
      </c>
      <c r="M3" s="54" t="s">
        <v>10</v>
      </c>
      <c r="N3" s="54" t="s">
        <v>9</v>
      </c>
      <c r="O3" s="53" t="s">
        <v>92</v>
      </c>
      <c r="P3" s="53" t="s">
        <v>93</v>
      </c>
      <c r="Q3" s="1"/>
      <c r="R3" s="54" t="s">
        <v>90</v>
      </c>
      <c r="S3" s="54" t="s">
        <v>0</v>
      </c>
      <c r="T3" s="54" t="s">
        <v>91</v>
      </c>
      <c r="U3" s="53" t="s">
        <v>10</v>
      </c>
      <c r="V3" s="54" t="s">
        <v>9</v>
      </c>
      <c r="W3" s="54" t="s">
        <v>92</v>
      </c>
      <c r="X3" s="54" t="s">
        <v>93</v>
      </c>
      <c r="Y3" s="1"/>
      <c r="Z3" s="53" t="s">
        <v>90</v>
      </c>
      <c r="AA3" s="54" t="s">
        <v>0</v>
      </c>
      <c r="AB3" s="54" t="s">
        <v>91</v>
      </c>
      <c r="AC3" s="54" t="s">
        <v>10</v>
      </c>
      <c r="AD3" s="54" t="s">
        <v>94</v>
      </c>
      <c r="AE3" s="54" t="s">
        <v>9</v>
      </c>
      <c r="AF3" s="53" t="s">
        <v>92</v>
      </c>
      <c r="AG3" s="53" t="s">
        <v>95</v>
      </c>
      <c r="AH3" s="1"/>
      <c r="AI3" s="53" t="s">
        <v>90</v>
      </c>
      <c r="AJ3" s="54" t="s">
        <v>0</v>
      </c>
      <c r="AK3" s="54" t="s">
        <v>91</v>
      </c>
      <c r="AL3" s="54" t="s">
        <v>10</v>
      </c>
      <c r="AM3" s="54" t="s">
        <v>9</v>
      </c>
      <c r="AN3" s="53" t="s">
        <v>92</v>
      </c>
      <c r="AO3" s="53" t="s">
        <v>95</v>
      </c>
      <c r="AP3" s="1"/>
      <c r="AQ3" s="53" t="s">
        <v>96</v>
      </c>
      <c r="AR3" s="54" t="s">
        <v>0</v>
      </c>
      <c r="AS3" s="54" t="s">
        <v>97</v>
      </c>
      <c r="AT3" s="54" t="s">
        <v>98</v>
      </c>
      <c r="AU3" s="54" t="s">
        <v>99</v>
      </c>
      <c r="AV3" s="1"/>
      <c r="AW3" s="53" t="s">
        <v>96</v>
      </c>
      <c r="AX3" s="54" t="s">
        <v>97</v>
      </c>
      <c r="AY3" s="54" t="s">
        <v>98</v>
      </c>
      <c r="BA3" s="53" t="s">
        <v>96</v>
      </c>
      <c r="BB3" s="54" t="s">
        <v>97</v>
      </c>
      <c r="BC3" s="55" t="s">
        <v>100</v>
      </c>
      <c r="BD3" s="1"/>
      <c r="BE3" s="55" t="s">
        <v>97</v>
      </c>
      <c r="BF3" s="55" t="s">
        <v>98</v>
      </c>
      <c r="BG3" s="55" t="s">
        <v>101</v>
      </c>
      <c r="BH3" s="1"/>
      <c r="BI3" s="55" t="s">
        <v>97</v>
      </c>
      <c r="BJ3" s="55" t="s">
        <v>98</v>
      </c>
      <c r="BK3" s="55" t="s">
        <v>102</v>
      </c>
      <c r="BL3" s="54" t="s">
        <v>9</v>
      </c>
      <c r="BM3" s="13"/>
      <c r="BN3" s="53" t="s">
        <v>96</v>
      </c>
      <c r="BO3" s="54" t="s">
        <v>97</v>
      </c>
      <c r="BP3" s="54" t="s">
        <v>98</v>
      </c>
      <c r="BQ3" s="54" t="s">
        <v>99</v>
      </c>
      <c r="BS3" s="53" t="s">
        <v>96</v>
      </c>
      <c r="BT3" s="54" t="s">
        <v>0</v>
      </c>
      <c r="BU3" s="54" t="s">
        <v>97</v>
      </c>
      <c r="BV3" s="54" t="s">
        <v>98</v>
      </c>
      <c r="BW3" s="54" t="s">
        <v>9</v>
      </c>
      <c r="BX3" s="48"/>
    </row>
    <row r="4" spans="2:76">
      <c r="B4" s="49" t="s">
        <v>103</v>
      </c>
      <c r="C4" s="56" t="s">
        <v>104</v>
      </c>
      <c r="D4" s="56" t="s">
        <v>1</v>
      </c>
      <c r="E4" s="56" t="s">
        <v>105</v>
      </c>
      <c r="F4" s="56" t="s">
        <v>106</v>
      </c>
      <c r="G4" s="56" t="s">
        <v>107</v>
      </c>
      <c r="H4" s="52"/>
      <c r="J4" s="57">
        <v>45658</v>
      </c>
      <c r="K4" s="58">
        <f t="shared" ref="K4:K14" si="0">YEAR(J5)</f>
        <v>2025</v>
      </c>
      <c r="L4" s="58">
        <v>182592</v>
      </c>
      <c r="M4" s="58">
        <v>-12515</v>
      </c>
      <c r="N4" s="58">
        <f t="shared" ref="N4:N18" si="1">$N$2/12*L4</f>
        <v>643.63679999999999</v>
      </c>
      <c r="O4" s="58">
        <f t="shared" ref="O4:O18" si="2">L4+M4+N4</f>
        <v>170720.63680000001</v>
      </c>
      <c r="P4" s="58">
        <f t="shared" ref="P4:P18" si="3">M4+N4</f>
        <v>-11871.3632</v>
      </c>
      <c r="Q4" s="59"/>
      <c r="T4" s="58">
        <v>6449071.5199999996</v>
      </c>
      <c r="U4" s="58">
        <v>-769071.33</v>
      </c>
      <c r="Z4" s="57">
        <v>45703</v>
      </c>
      <c r="AA4" s="58">
        <f t="shared" ref="AA4:AA243" si="4">YEAR(Z5)</f>
        <v>2025</v>
      </c>
      <c r="AB4" s="58">
        <v>4665000</v>
      </c>
      <c r="AC4" s="60">
        <f>PMT(AE2/12,240,AB4)</f>
        <v>-34780.986771779273</v>
      </c>
      <c r="AD4" s="61">
        <f t="shared" ref="AD4:AD243" si="5">Z5</f>
        <v>45731</v>
      </c>
      <c r="AE4" s="58">
        <f t="shared" ref="AE4:AE243" si="6">$AE$2/12*AB4</f>
        <v>25268.75</v>
      </c>
      <c r="AF4" s="58">
        <f t="shared" ref="AF4:AF243" si="7">AB4+AC4+AE4</f>
        <v>4655487.7632282209</v>
      </c>
      <c r="AG4" s="58">
        <f t="shared" ref="AG4:AG242" si="8">AB4-AB5</f>
        <v>9512.2367717791349</v>
      </c>
      <c r="AH4" s="62"/>
      <c r="AI4" s="57">
        <v>45688</v>
      </c>
      <c r="AJ4" s="58">
        <f t="shared" ref="AJ4:AJ8" si="9">YEAR(AI5)</f>
        <v>2026</v>
      </c>
      <c r="AK4" s="58">
        <v>500000</v>
      </c>
      <c r="AL4" s="58">
        <f>PMT(AM2,5,AK4)</f>
        <v>-123582.35889336016</v>
      </c>
      <c r="AM4" s="58">
        <f t="shared" ref="AM4:AM8" si="10">$AM$2*AK4</f>
        <v>37500</v>
      </c>
      <c r="AN4" s="58">
        <f t="shared" ref="AN4:AN8" si="11">AK4+AL4+AM4</f>
        <v>413917.64110663987</v>
      </c>
      <c r="AO4" s="58">
        <f t="shared" ref="AO4:AO8" si="12">AK4-AK5</f>
        <v>86082.358893360128</v>
      </c>
      <c r="AP4" s="63"/>
      <c r="AQ4" s="57">
        <v>45092</v>
      </c>
      <c r="AR4" s="58">
        <f t="shared" ref="AR4:AR26" si="13">YEAR(AQ5)</f>
        <v>2024</v>
      </c>
      <c r="AS4" s="58">
        <v>31000</v>
      </c>
      <c r="AT4" s="58">
        <f>AS4</f>
        <v>31000</v>
      </c>
      <c r="AU4" s="58"/>
      <c r="AV4" s="57"/>
      <c r="AW4" s="57">
        <v>44561</v>
      </c>
      <c r="AX4" s="58">
        <v>380000</v>
      </c>
      <c r="AY4" s="58">
        <f>AX4</f>
        <v>380000</v>
      </c>
      <c r="BA4" s="57">
        <v>44200</v>
      </c>
      <c r="BB4" s="58">
        <v>150000</v>
      </c>
      <c r="BC4" s="58">
        <f>BB4</f>
        <v>150000</v>
      </c>
      <c r="BD4" s="58"/>
      <c r="BE4" s="58"/>
      <c r="BF4" s="58"/>
      <c r="BG4" s="58"/>
      <c r="BH4" s="58"/>
      <c r="BI4" s="58"/>
      <c r="BJ4" s="58"/>
      <c r="BK4" s="58"/>
      <c r="BL4" s="58"/>
      <c r="BM4" s="1"/>
      <c r="BN4" s="57">
        <v>45364</v>
      </c>
      <c r="BO4" s="58">
        <v>825000</v>
      </c>
      <c r="BP4" s="58">
        <f>BO4</f>
        <v>825000</v>
      </c>
      <c r="BQ4" s="58"/>
      <c r="BS4" s="57">
        <v>44922</v>
      </c>
      <c r="BT4" s="64">
        <f t="shared" ref="BT4:BT66" si="14">YEAR(BS5)</f>
        <v>2022</v>
      </c>
      <c r="BU4" s="58">
        <v>35000</v>
      </c>
      <c r="BV4" s="58">
        <v>35000</v>
      </c>
      <c r="BW4" s="58"/>
      <c r="BX4" s="48"/>
    </row>
    <row r="5" spans="2:76">
      <c r="B5" s="49" t="s">
        <v>108</v>
      </c>
      <c r="C5" s="65">
        <v>43800</v>
      </c>
      <c r="D5" s="65">
        <v>45352</v>
      </c>
      <c r="E5" s="65">
        <v>45658</v>
      </c>
      <c r="F5" s="65">
        <v>45658</v>
      </c>
      <c r="G5" s="66">
        <v>2024</v>
      </c>
      <c r="H5" s="67"/>
      <c r="J5" s="57">
        <f t="shared" ref="J5:J19" si="15">EDATE(J4,1)</f>
        <v>45689</v>
      </c>
      <c r="K5" s="58">
        <f t="shared" si="0"/>
        <v>2025</v>
      </c>
      <c r="L5" s="58">
        <f t="shared" ref="L5:L18" si="16">O4</f>
        <v>170720.63680000001</v>
      </c>
      <c r="M5" s="58">
        <f t="shared" ref="M5:M18" si="17">M4</f>
        <v>-12515</v>
      </c>
      <c r="N5" s="58">
        <f t="shared" si="1"/>
        <v>601.79024472000003</v>
      </c>
      <c r="O5" s="58">
        <f t="shared" si="2"/>
        <v>158807.42704472001</v>
      </c>
      <c r="P5" s="58">
        <f t="shared" si="3"/>
        <v>-11913.209755280001</v>
      </c>
      <c r="Q5" s="59"/>
      <c r="R5" s="57">
        <v>45522</v>
      </c>
      <c r="S5" s="58">
        <f t="shared" ref="S5:S81" si="18">YEAR(R6)</f>
        <v>2024</v>
      </c>
      <c r="T5" s="58">
        <v>5680000</v>
      </c>
      <c r="U5" s="58">
        <v>-91166</v>
      </c>
      <c r="V5" s="58">
        <f t="shared" ref="V5:V82" si="19">T5*$V$2/12</f>
        <v>33701.333333333336</v>
      </c>
      <c r="W5" s="58">
        <f t="shared" ref="W5:W82" si="20">T5+U5+V5</f>
        <v>5622535.333333333</v>
      </c>
      <c r="X5" s="58">
        <f t="shared" ref="X5:X82" si="21">V5+U5</f>
        <v>-57464.666666666664</v>
      </c>
      <c r="Z5" s="57">
        <f t="shared" ref="Z5:Z243" si="22">EDATE(Z4,1)</f>
        <v>45731</v>
      </c>
      <c r="AA5" s="58">
        <f t="shared" si="4"/>
        <v>2025</v>
      </c>
      <c r="AB5" s="58">
        <f t="shared" ref="AB5:AB243" si="23">AF4</f>
        <v>4655487.7632282209</v>
      </c>
      <c r="AC5" s="58">
        <f t="shared" ref="AC5:AC243" si="24">AC4</f>
        <v>-34780.986771779273</v>
      </c>
      <c r="AD5" s="61">
        <f t="shared" si="5"/>
        <v>45762</v>
      </c>
      <c r="AE5" s="58">
        <f t="shared" si="6"/>
        <v>25217.225384152865</v>
      </c>
      <c r="AF5" s="58">
        <f t="shared" si="7"/>
        <v>4645924.0018405942</v>
      </c>
      <c r="AG5" s="58">
        <f t="shared" si="8"/>
        <v>9563.7613876266405</v>
      </c>
      <c r="AH5" s="57"/>
      <c r="AI5" s="57">
        <f t="shared" ref="AI5:AI9" si="25">EDATE(AI4,12)</f>
        <v>46053</v>
      </c>
      <c r="AJ5" s="58">
        <f t="shared" si="9"/>
        <v>2027</v>
      </c>
      <c r="AK5" s="58">
        <f t="shared" ref="AK5:AK8" si="26">AN4</f>
        <v>413917.64110663987</v>
      </c>
      <c r="AL5" s="58">
        <f t="shared" ref="AL5:AL8" si="27">AL4</f>
        <v>-123582.35889336016</v>
      </c>
      <c r="AM5" s="58">
        <f t="shared" si="10"/>
        <v>31043.823082997988</v>
      </c>
      <c r="AN5" s="58">
        <f t="shared" si="11"/>
        <v>321379.10529627773</v>
      </c>
      <c r="AO5" s="58">
        <f t="shared" si="12"/>
        <v>92538.53581036214</v>
      </c>
      <c r="AP5" s="63"/>
      <c r="AQ5" s="57">
        <v>45342</v>
      </c>
      <c r="AR5" s="58">
        <f t="shared" si="13"/>
        <v>2024</v>
      </c>
      <c r="AS5" s="58">
        <v>500000</v>
      </c>
      <c r="AT5" s="58">
        <f t="shared" ref="AT5:AT32" si="28">AS5+AT4</f>
        <v>531000</v>
      </c>
      <c r="AU5" s="58">
        <f t="shared" ref="AU5:AU15" si="29">AT4*(AQ5-AQ4)/365*$AU$2</f>
        <v>1592.4657534246576</v>
      </c>
      <c r="AV5" s="57"/>
      <c r="AW5" s="57">
        <f t="shared" ref="AW5:AW10" si="30">EDATE(AW4,12)</f>
        <v>44926</v>
      </c>
      <c r="AX5" s="58">
        <v>0</v>
      </c>
      <c r="AY5" s="58">
        <f t="shared" ref="AY5:AY10" si="31">AX5+AY4</f>
        <v>380000</v>
      </c>
      <c r="BA5" s="57">
        <v>44327</v>
      </c>
      <c r="BB5" s="58">
        <v>75000</v>
      </c>
      <c r="BC5" s="58">
        <f t="shared" ref="BC5:BC43" si="32">BB5+BC4</f>
        <v>225000</v>
      </c>
      <c r="BD5" s="58"/>
      <c r="BE5" s="58"/>
      <c r="BF5" s="58"/>
      <c r="BG5" s="58"/>
      <c r="BH5" s="58"/>
      <c r="BI5" s="58"/>
      <c r="BJ5" s="58"/>
      <c r="BK5" s="58"/>
      <c r="BL5" s="58"/>
      <c r="BM5" s="48"/>
      <c r="BN5" s="57">
        <v>45369</v>
      </c>
      <c r="BO5" s="58">
        <v>-115137</v>
      </c>
      <c r="BP5" s="58">
        <f t="shared" ref="BP5:BP9" si="33">BO5+BP4</f>
        <v>709863</v>
      </c>
      <c r="BQ5" s="58">
        <f t="shared" ref="BQ5:BQ9" si="34">BP4*(BN5-BN4)/365*$BQ$2</f>
        <v>847.60273972602738</v>
      </c>
      <c r="BS5" s="57">
        <v>44923</v>
      </c>
      <c r="BT5" s="64">
        <f t="shared" si="14"/>
        <v>2023</v>
      </c>
      <c r="BU5" s="58">
        <v>100000</v>
      </c>
      <c r="BV5" s="58">
        <f t="shared" ref="BV5:BV81" si="35">BU5+BV4</f>
        <v>135000</v>
      </c>
      <c r="BW5" s="58">
        <f t="shared" ref="BW5:BW68" si="36">$BW$2*(BS5-BS4)/365*BV4</f>
        <v>7.1917808219178081</v>
      </c>
      <c r="BX5" s="48"/>
    </row>
    <row r="6" spans="2:76">
      <c r="B6" s="49" t="s">
        <v>109</v>
      </c>
      <c r="C6" s="65">
        <v>46082</v>
      </c>
      <c r="D6" s="65">
        <v>47908</v>
      </c>
      <c r="E6" s="65">
        <v>52963</v>
      </c>
      <c r="F6" s="65">
        <v>47119</v>
      </c>
      <c r="G6" s="65">
        <v>46082</v>
      </c>
      <c r="H6" s="67"/>
      <c r="J6" s="57">
        <f t="shared" si="15"/>
        <v>45717</v>
      </c>
      <c r="K6" s="58">
        <f t="shared" si="0"/>
        <v>2025</v>
      </c>
      <c r="L6" s="58">
        <f t="shared" si="16"/>
        <v>158807.42704472001</v>
      </c>
      <c r="M6" s="58">
        <f t="shared" si="17"/>
        <v>-12515</v>
      </c>
      <c r="N6" s="58">
        <f t="shared" si="1"/>
        <v>559.79618033263807</v>
      </c>
      <c r="O6" s="58">
        <f t="shared" si="2"/>
        <v>146852.22322505264</v>
      </c>
      <c r="P6" s="58">
        <f t="shared" si="3"/>
        <v>-11955.203819667362</v>
      </c>
      <c r="Q6" s="59"/>
      <c r="R6" s="57">
        <f t="shared" ref="R6:R82" si="37">EDATE(R5,1)</f>
        <v>45553</v>
      </c>
      <c r="S6" s="58">
        <f t="shared" si="18"/>
        <v>2024</v>
      </c>
      <c r="T6" s="58">
        <f t="shared" ref="T6:T82" si="38">W5</f>
        <v>5622535.333333333</v>
      </c>
      <c r="U6" s="58">
        <f t="shared" ref="U6:U82" si="39">U5</f>
        <v>-91166</v>
      </c>
      <c r="V6" s="58">
        <f t="shared" si="19"/>
        <v>33360.376311111111</v>
      </c>
      <c r="W6" s="58">
        <f t="shared" si="20"/>
        <v>5564729.7096444443</v>
      </c>
      <c r="X6" s="58">
        <f t="shared" si="21"/>
        <v>-57805.623688888889</v>
      </c>
      <c r="Z6" s="57">
        <f t="shared" si="22"/>
        <v>45762</v>
      </c>
      <c r="AA6" s="58">
        <f t="shared" si="4"/>
        <v>2025</v>
      </c>
      <c r="AB6" s="58">
        <f t="shared" si="23"/>
        <v>4645924.0018405942</v>
      </c>
      <c r="AC6" s="58">
        <f t="shared" si="24"/>
        <v>-34780.986771779273</v>
      </c>
      <c r="AD6" s="61">
        <f t="shared" si="5"/>
        <v>45792</v>
      </c>
      <c r="AE6" s="58">
        <f t="shared" si="6"/>
        <v>25165.421676636553</v>
      </c>
      <c r="AF6" s="58">
        <f t="shared" si="7"/>
        <v>4636308.4367454518</v>
      </c>
      <c r="AG6" s="58">
        <f t="shared" si="8"/>
        <v>9615.5650951424614</v>
      </c>
      <c r="AH6" s="57"/>
      <c r="AI6" s="57">
        <f t="shared" si="25"/>
        <v>46418</v>
      </c>
      <c r="AJ6" s="58">
        <f t="shared" si="9"/>
        <v>2028</v>
      </c>
      <c r="AK6" s="58">
        <f t="shared" si="26"/>
        <v>321379.10529627773</v>
      </c>
      <c r="AL6" s="58">
        <f t="shared" si="27"/>
        <v>-123582.35889336016</v>
      </c>
      <c r="AM6" s="58">
        <f t="shared" si="10"/>
        <v>24103.432897220828</v>
      </c>
      <c r="AN6" s="58">
        <f t="shared" si="11"/>
        <v>221900.17930013841</v>
      </c>
      <c r="AO6" s="58">
        <f t="shared" si="12"/>
        <v>99478.925996139325</v>
      </c>
      <c r="AP6" s="57"/>
      <c r="AQ6" s="57">
        <v>45378</v>
      </c>
      <c r="AR6" s="58">
        <f t="shared" si="13"/>
        <v>2024</v>
      </c>
      <c r="AS6" s="58">
        <v>100000</v>
      </c>
      <c r="AT6" s="58">
        <f t="shared" si="28"/>
        <v>631000</v>
      </c>
      <c r="AU6" s="58">
        <f t="shared" si="29"/>
        <v>3927.9452054794519</v>
      </c>
      <c r="AV6" s="57"/>
      <c r="AW6" s="57">
        <f t="shared" si="30"/>
        <v>45291</v>
      </c>
      <c r="AX6" s="58">
        <v>0</v>
      </c>
      <c r="AY6" s="58">
        <f t="shared" si="31"/>
        <v>380000</v>
      </c>
      <c r="BA6" s="57">
        <v>44375</v>
      </c>
      <c r="BB6" s="58">
        <v>10000</v>
      </c>
      <c r="BC6" s="58">
        <f t="shared" si="32"/>
        <v>235000</v>
      </c>
      <c r="BD6" s="58"/>
      <c r="BE6" s="58"/>
      <c r="BF6" s="58"/>
      <c r="BG6" s="58"/>
      <c r="BH6" s="58"/>
      <c r="BI6" s="58"/>
      <c r="BJ6" s="58"/>
      <c r="BK6" s="58"/>
      <c r="BL6" s="58"/>
      <c r="BM6" s="48"/>
      <c r="BN6" s="57">
        <v>45370</v>
      </c>
      <c r="BO6" s="58">
        <v>-200000</v>
      </c>
      <c r="BP6" s="58">
        <f t="shared" si="33"/>
        <v>509863</v>
      </c>
      <c r="BQ6" s="58">
        <f t="shared" si="34"/>
        <v>145.86226027397259</v>
      </c>
      <c r="BS6" s="57">
        <v>44970</v>
      </c>
      <c r="BT6" s="64">
        <f t="shared" si="14"/>
        <v>2023</v>
      </c>
      <c r="BU6" s="58">
        <v>100000</v>
      </c>
      <c r="BV6" s="58">
        <f t="shared" si="35"/>
        <v>235000</v>
      </c>
      <c r="BW6" s="58">
        <f t="shared" si="36"/>
        <v>1303.7671232876712</v>
      </c>
      <c r="BX6" s="48"/>
    </row>
    <row r="7" spans="2:76">
      <c r="B7" s="49" t="s">
        <v>110</v>
      </c>
      <c r="C7" s="68" t="s">
        <v>111</v>
      </c>
      <c r="D7" s="69">
        <v>5680000</v>
      </c>
      <c r="E7" s="69">
        <v>5165000</v>
      </c>
      <c r="F7" s="69">
        <f t="shared" ref="F7:F8" si="40">VLOOKUP($C$1,$AI$4:$AO$8,3)</f>
        <v>500000</v>
      </c>
      <c r="G7" s="69">
        <v>930000</v>
      </c>
      <c r="H7" s="70">
        <f>SUM(C7:G7)+750000</f>
        <v>13025000</v>
      </c>
      <c r="J7" s="57">
        <f t="shared" si="15"/>
        <v>45748</v>
      </c>
      <c r="K7" s="58">
        <f t="shared" si="0"/>
        <v>2025</v>
      </c>
      <c r="L7" s="58">
        <f t="shared" si="16"/>
        <v>146852.22322505264</v>
      </c>
      <c r="M7" s="58">
        <f t="shared" si="17"/>
        <v>-12515</v>
      </c>
      <c r="N7" s="58">
        <f t="shared" si="1"/>
        <v>517.65408686831051</v>
      </c>
      <c r="O7" s="58">
        <f t="shared" si="2"/>
        <v>134854.87731192095</v>
      </c>
      <c r="P7" s="58">
        <f t="shared" si="3"/>
        <v>-11997.345913131689</v>
      </c>
      <c r="Q7" s="59"/>
      <c r="R7" s="57">
        <f t="shared" si="37"/>
        <v>45583</v>
      </c>
      <c r="S7" s="58">
        <f t="shared" si="18"/>
        <v>2024</v>
      </c>
      <c r="T7" s="58">
        <f t="shared" si="38"/>
        <v>5564729.7096444443</v>
      </c>
      <c r="U7" s="58">
        <f t="shared" si="39"/>
        <v>-91166</v>
      </c>
      <c r="V7" s="58">
        <f t="shared" si="19"/>
        <v>33017.396277223706</v>
      </c>
      <c r="W7" s="58">
        <f t="shared" si="20"/>
        <v>5506581.105921668</v>
      </c>
      <c r="X7" s="58">
        <f t="shared" si="21"/>
        <v>-58148.603722776294</v>
      </c>
      <c r="Z7" s="57">
        <f t="shared" si="22"/>
        <v>45792</v>
      </c>
      <c r="AA7" s="58">
        <f t="shared" si="4"/>
        <v>2025</v>
      </c>
      <c r="AB7" s="58">
        <f t="shared" si="23"/>
        <v>4636308.4367454518</v>
      </c>
      <c r="AC7" s="58">
        <f t="shared" si="24"/>
        <v>-34780.986771779273</v>
      </c>
      <c r="AD7" s="61">
        <f t="shared" si="5"/>
        <v>45823</v>
      </c>
      <c r="AE7" s="58">
        <f t="shared" si="6"/>
        <v>25113.33736570453</v>
      </c>
      <c r="AF7" s="58">
        <f t="shared" si="7"/>
        <v>4626640.7873393772</v>
      </c>
      <c r="AG7" s="58">
        <f t="shared" si="8"/>
        <v>9667.6494060745463</v>
      </c>
      <c r="AH7" s="57"/>
      <c r="AI7" s="57">
        <f t="shared" si="25"/>
        <v>46783</v>
      </c>
      <c r="AJ7" s="58">
        <f t="shared" si="9"/>
        <v>2029</v>
      </c>
      <c r="AK7" s="58">
        <f t="shared" si="26"/>
        <v>221900.17930013841</v>
      </c>
      <c r="AL7" s="58">
        <f t="shared" si="27"/>
        <v>-123582.35889336016</v>
      </c>
      <c r="AM7" s="58">
        <f t="shared" si="10"/>
        <v>16642.513447510381</v>
      </c>
      <c r="AN7" s="58">
        <f t="shared" si="11"/>
        <v>114960.33385428863</v>
      </c>
      <c r="AO7" s="58">
        <f t="shared" si="12"/>
        <v>106939.84544584977</v>
      </c>
      <c r="AP7" s="57"/>
      <c r="AQ7" s="57">
        <v>45427</v>
      </c>
      <c r="AR7" s="58">
        <f t="shared" si="13"/>
        <v>2024</v>
      </c>
      <c r="AS7" s="58">
        <v>100000</v>
      </c>
      <c r="AT7" s="58">
        <f t="shared" si="28"/>
        <v>731000</v>
      </c>
      <c r="AU7" s="58">
        <f t="shared" si="29"/>
        <v>6353.2191780821922</v>
      </c>
      <c r="AV7" s="57"/>
      <c r="AW7" s="57">
        <f t="shared" si="30"/>
        <v>45657</v>
      </c>
      <c r="AX7" s="58">
        <v>0</v>
      </c>
      <c r="AY7" s="58">
        <f t="shared" si="31"/>
        <v>380000</v>
      </c>
      <c r="BA7" s="57">
        <v>44574</v>
      </c>
      <c r="BB7" s="58">
        <v>164000</v>
      </c>
      <c r="BC7" s="58">
        <f t="shared" si="32"/>
        <v>399000</v>
      </c>
      <c r="BD7" s="58"/>
      <c r="BE7" s="58"/>
      <c r="BF7" s="58"/>
      <c r="BG7" s="58"/>
      <c r="BH7" s="58"/>
      <c r="BI7" s="58"/>
      <c r="BJ7" s="58"/>
      <c r="BK7" s="58"/>
      <c r="BL7" s="58"/>
      <c r="BM7" s="48"/>
      <c r="BN7" s="57">
        <v>45406</v>
      </c>
      <c r="BO7" s="58">
        <v>-200000</v>
      </c>
      <c r="BP7" s="58">
        <f t="shared" si="33"/>
        <v>309863</v>
      </c>
      <c r="BQ7" s="58">
        <f t="shared" si="34"/>
        <v>3771.5893150684933</v>
      </c>
      <c r="BS7" s="57">
        <v>44993</v>
      </c>
      <c r="BT7" s="64">
        <f t="shared" si="14"/>
        <v>2023</v>
      </c>
      <c r="BU7" s="58">
        <v>25000</v>
      </c>
      <c r="BV7" s="58">
        <f t="shared" si="35"/>
        <v>260000</v>
      </c>
      <c r="BW7" s="58">
        <f t="shared" si="36"/>
        <v>1110.6164383561643</v>
      </c>
    </row>
    <row r="8" spans="2:76">
      <c r="B8" s="49" t="s">
        <v>112</v>
      </c>
      <c r="C8" s="71">
        <f>VLOOKUP(C1,$J$4:$L$18,3,FALSE)</f>
        <v>37341.058105307522</v>
      </c>
      <c r="D8" s="69">
        <f>VLOOKUP(C1,$R$5:$T$82,3)</f>
        <v>4718495.443808144</v>
      </c>
      <c r="E8" s="71">
        <f>VLOOKUP(C1,$Z$4:$AB$243,3)</f>
        <v>4567525.2140291361</v>
      </c>
      <c r="F8" s="69">
        <f t="shared" si="40"/>
        <v>500000</v>
      </c>
      <c r="G8" s="69">
        <v>15000</v>
      </c>
      <c r="H8" s="70">
        <f>SUM(C8:G8)</f>
        <v>9838361.7159425877</v>
      </c>
      <c r="J8" s="57">
        <f t="shared" si="15"/>
        <v>45778</v>
      </c>
      <c r="K8" s="58">
        <f t="shared" si="0"/>
        <v>2025</v>
      </c>
      <c r="L8" s="58">
        <f t="shared" si="16"/>
        <v>134854.87731192095</v>
      </c>
      <c r="M8" s="58">
        <f t="shared" si="17"/>
        <v>-12515</v>
      </c>
      <c r="N8" s="58">
        <f t="shared" si="1"/>
        <v>475.36344252452136</v>
      </c>
      <c r="O8" s="58">
        <f t="shared" si="2"/>
        <v>122815.24075444548</v>
      </c>
      <c r="P8" s="58">
        <f t="shared" si="3"/>
        <v>-12039.636557475478</v>
      </c>
      <c r="Q8" s="59"/>
      <c r="R8" s="57">
        <f t="shared" si="37"/>
        <v>45614</v>
      </c>
      <c r="S8" s="58">
        <f t="shared" si="18"/>
        <v>2024</v>
      </c>
      <c r="T8" s="58">
        <f t="shared" si="38"/>
        <v>5506581.105921668</v>
      </c>
      <c r="U8" s="58">
        <f t="shared" si="39"/>
        <v>-91166</v>
      </c>
      <c r="V8" s="58">
        <f t="shared" si="19"/>
        <v>32672.381228468566</v>
      </c>
      <c r="W8" s="58">
        <f t="shared" si="20"/>
        <v>5448087.4871501364</v>
      </c>
      <c r="X8" s="58">
        <f t="shared" si="21"/>
        <v>-58493.61877153143</v>
      </c>
      <c r="Z8" s="57">
        <f t="shared" si="22"/>
        <v>45823</v>
      </c>
      <c r="AA8" s="58">
        <f t="shared" si="4"/>
        <v>2025</v>
      </c>
      <c r="AB8" s="58">
        <f t="shared" si="23"/>
        <v>4626640.7873393772</v>
      </c>
      <c r="AC8" s="58">
        <f t="shared" si="24"/>
        <v>-34780.986771779273</v>
      </c>
      <c r="AD8" s="61">
        <f t="shared" si="5"/>
        <v>45853</v>
      </c>
      <c r="AE8" s="58">
        <f t="shared" si="6"/>
        <v>25060.970931421627</v>
      </c>
      <c r="AF8" s="58">
        <f t="shared" si="7"/>
        <v>4616920.77149902</v>
      </c>
      <c r="AG8" s="58">
        <f t="shared" si="8"/>
        <v>9720.0158403571695</v>
      </c>
      <c r="AH8" s="57"/>
      <c r="AI8" s="57">
        <f t="shared" si="25"/>
        <v>47149</v>
      </c>
      <c r="AJ8" s="58">
        <f t="shared" si="9"/>
        <v>2030</v>
      </c>
      <c r="AK8" s="58">
        <f t="shared" si="26"/>
        <v>114960.33385428863</v>
      </c>
      <c r="AL8" s="58">
        <f t="shared" si="27"/>
        <v>-123582.35889336016</v>
      </c>
      <c r="AM8" s="58">
        <f t="shared" si="10"/>
        <v>8622.0250390716465</v>
      </c>
      <c r="AN8" s="58">
        <f t="shared" si="11"/>
        <v>1.2369127944111824E-10</v>
      </c>
      <c r="AO8" s="58">
        <f t="shared" si="12"/>
        <v>114960.33385428863</v>
      </c>
      <c r="AP8" s="57"/>
      <c r="AQ8" s="57">
        <v>45434</v>
      </c>
      <c r="AR8" s="58">
        <f t="shared" si="13"/>
        <v>2024</v>
      </c>
      <c r="AS8" s="58">
        <v>60000</v>
      </c>
      <c r="AT8" s="58">
        <f t="shared" si="28"/>
        <v>791000</v>
      </c>
      <c r="AU8" s="58">
        <f t="shared" si="29"/>
        <v>1051.4383561643835</v>
      </c>
      <c r="AV8" s="57"/>
      <c r="AW8" s="57">
        <f t="shared" si="30"/>
        <v>46022</v>
      </c>
      <c r="AX8" s="58">
        <v>0</v>
      </c>
      <c r="AY8" s="58">
        <f t="shared" si="31"/>
        <v>380000</v>
      </c>
      <c r="BA8" s="57">
        <v>44672</v>
      </c>
      <c r="BB8" s="58">
        <v>450000</v>
      </c>
      <c r="BC8" s="58">
        <f t="shared" si="32"/>
        <v>849000</v>
      </c>
      <c r="BD8" s="58"/>
      <c r="BE8" s="58"/>
      <c r="BF8" s="58"/>
      <c r="BG8" s="58"/>
      <c r="BH8" s="58"/>
      <c r="BI8" s="58"/>
      <c r="BJ8" s="58"/>
      <c r="BK8" s="58"/>
      <c r="BL8" s="58"/>
      <c r="BM8" s="48"/>
      <c r="BN8" s="57">
        <v>45447</v>
      </c>
      <c r="BO8" s="58">
        <v>-250000</v>
      </c>
      <c r="BP8" s="58">
        <f t="shared" si="33"/>
        <v>59863</v>
      </c>
      <c r="BQ8" s="58">
        <f t="shared" si="34"/>
        <v>2610.4896575342464</v>
      </c>
      <c r="BS8" s="57">
        <v>45013</v>
      </c>
      <c r="BT8" s="64">
        <f t="shared" si="14"/>
        <v>2023</v>
      </c>
      <c r="BU8" s="58">
        <v>-200000</v>
      </c>
      <c r="BV8" s="58">
        <f t="shared" si="35"/>
        <v>60000</v>
      </c>
      <c r="BW8" s="58">
        <f t="shared" si="36"/>
        <v>1068.4931506849314</v>
      </c>
    </row>
    <row r="9" spans="2:76">
      <c r="B9" s="49" t="s">
        <v>113</v>
      </c>
      <c r="C9" s="72">
        <v>4.2299999999999997E-2</v>
      </c>
      <c r="D9" s="72">
        <v>7.1199999999999999E-2</v>
      </c>
      <c r="E9" s="72">
        <v>6.5000000000000002E-2</v>
      </c>
      <c r="F9" s="50" t="s">
        <v>114</v>
      </c>
      <c r="G9" s="50" t="s">
        <v>114</v>
      </c>
      <c r="H9" s="67"/>
      <c r="J9" s="57">
        <f t="shared" si="15"/>
        <v>45809</v>
      </c>
      <c r="K9" s="58">
        <f t="shared" si="0"/>
        <v>2025</v>
      </c>
      <c r="L9" s="58">
        <f t="shared" si="16"/>
        <v>122815.24075444548</v>
      </c>
      <c r="M9" s="58">
        <f t="shared" si="17"/>
        <v>-12515</v>
      </c>
      <c r="N9" s="58">
        <f t="shared" si="1"/>
        <v>432.92372365942032</v>
      </c>
      <c r="O9" s="58">
        <f t="shared" si="2"/>
        <v>110733.1644781049</v>
      </c>
      <c r="P9" s="58">
        <f t="shared" si="3"/>
        <v>-12082.07627634058</v>
      </c>
      <c r="Q9" s="59"/>
      <c r="R9" s="57">
        <f t="shared" si="37"/>
        <v>45644</v>
      </c>
      <c r="S9" s="58">
        <f t="shared" si="18"/>
        <v>2025</v>
      </c>
      <c r="T9" s="58">
        <f t="shared" si="38"/>
        <v>5448087.4871501364</v>
      </c>
      <c r="U9" s="58">
        <f t="shared" si="39"/>
        <v>-91166</v>
      </c>
      <c r="V9" s="58">
        <f t="shared" si="19"/>
        <v>32325.319090424146</v>
      </c>
      <c r="W9" s="58">
        <f t="shared" si="20"/>
        <v>5389246.8062405605</v>
      </c>
      <c r="X9" s="58">
        <f t="shared" si="21"/>
        <v>-58840.680909575851</v>
      </c>
      <c r="Z9" s="57">
        <f t="shared" si="22"/>
        <v>45853</v>
      </c>
      <c r="AA9" s="58">
        <f t="shared" si="4"/>
        <v>2025</v>
      </c>
      <c r="AB9" s="58">
        <f t="shared" si="23"/>
        <v>4616920.77149902</v>
      </c>
      <c r="AC9" s="58">
        <f t="shared" si="24"/>
        <v>-34780.986771779273</v>
      </c>
      <c r="AD9" s="61">
        <f t="shared" si="5"/>
        <v>45884</v>
      </c>
      <c r="AE9" s="58">
        <f t="shared" si="6"/>
        <v>25008.320845619692</v>
      </c>
      <c r="AF9" s="58">
        <f t="shared" si="7"/>
        <v>4607148.1055728607</v>
      </c>
      <c r="AG9" s="58">
        <f t="shared" si="8"/>
        <v>9772.6659261593595</v>
      </c>
      <c r="AH9" s="57"/>
      <c r="AI9" s="57">
        <f t="shared" si="25"/>
        <v>47514</v>
      </c>
      <c r="AJ9" s="58"/>
      <c r="AK9" s="58"/>
      <c r="AL9" s="58"/>
      <c r="AM9" s="58"/>
      <c r="AN9" s="58"/>
      <c r="AO9" s="58"/>
      <c r="AP9" s="57"/>
      <c r="AQ9" s="57">
        <v>45441</v>
      </c>
      <c r="AR9" s="58">
        <f t="shared" si="13"/>
        <v>2024</v>
      </c>
      <c r="AS9" s="58">
        <f>140000- 689.67</f>
        <v>139310.32999999999</v>
      </c>
      <c r="AT9" s="58">
        <f t="shared" si="28"/>
        <v>930310.33</v>
      </c>
      <c r="AU9" s="58">
        <f t="shared" si="29"/>
        <v>1137.7397260273972</v>
      </c>
      <c r="AV9" s="57"/>
      <c r="AW9" s="57">
        <f t="shared" si="30"/>
        <v>46387</v>
      </c>
      <c r="AX9" s="58">
        <v>0</v>
      </c>
      <c r="AY9" s="58">
        <f t="shared" si="31"/>
        <v>380000</v>
      </c>
      <c r="BA9" s="57">
        <v>44683</v>
      </c>
      <c r="BB9" s="58">
        <v>100000</v>
      </c>
      <c r="BC9" s="58">
        <f t="shared" si="32"/>
        <v>949000</v>
      </c>
      <c r="BD9" s="58"/>
      <c r="BE9" s="58"/>
      <c r="BF9" s="58"/>
      <c r="BG9" s="58"/>
      <c r="BH9" s="58"/>
      <c r="BI9" s="58"/>
      <c r="BJ9" s="58"/>
      <c r="BK9" s="58"/>
      <c r="BL9" s="58"/>
      <c r="BM9" s="48"/>
      <c r="BN9" s="57">
        <v>45453</v>
      </c>
      <c r="BO9" s="58">
        <v>-59863.24</v>
      </c>
      <c r="BP9" s="58">
        <f t="shared" si="33"/>
        <v>-0.23999999999796273</v>
      </c>
      <c r="BQ9" s="58">
        <f t="shared" si="34"/>
        <v>73.803698630136978</v>
      </c>
      <c r="BS9" s="57">
        <v>45044</v>
      </c>
      <c r="BT9" s="64">
        <f t="shared" si="14"/>
        <v>2023</v>
      </c>
      <c r="BU9" s="58">
        <v>280000</v>
      </c>
      <c r="BV9" s="58">
        <f t="shared" si="35"/>
        <v>340000</v>
      </c>
      <c r="BW9" s="58">
        <f t="shared" si="36"/>
        <v>382.1917808219178</v>
      </c>
      <c r="BX9" s="48"/>
    </row>
    <row r="10" spans="2:76">
      <c r="B10" s="49" t="s">
        <v>115</v>
      </c>
      <c r="C10" s="71">
        <f>SUM(O15:O18)</f>
        <v>74889.236372951549</v>
      </c>
      <c r="D10" s="69">
        <f>91178*12</f>
        <v>1094136</v>
      </c>
      <c r="E10" s="69">
        <f>34780.9867717794*12</f>
        <v>417371.84126135276</v>
      </c>
      <c r="F10" s="68">
        <v>123500</v>
      </c>
      <c r="G10" s="69">
        <v>17670</v>
      </c>
      <c r="H10" s="70">
        <f t="shared" ref="H10:H11" si="41">SUM(C10:G10)</f>
        <v>1727567.0776343043</v>
      </c>
      <c r="J10" s="57">
        <f t="shared" si="15"/>
        <v>45839</v>
      </c>
      <c r="K10" s="58">
        <f t="shared" si="0"/>
        <v>2025</v>
      </c>
      <c r="L10" s="58">
        <f t="shared" si="16"/>
        <v>110733.1644781049</v>
      </c>
      <c r="M10" s="58">
        <f t="shared" si="17"/>
        <v>-12515</v>
      </c>
      <c r="N10" s="58">
        <f t="shared" si="1"/>
        <v>390.33440478531975</v>
      </c>
      <c r="O10" s="58">
        <f t="shared" si="2"/>
        <v>98608.498882890213</v>
      </c>
      <c r="P10" s="58">
        <f t="shared" si="3"/>
        <v>-12124.665595214679</v>
      </c>
      <c r="Q10" s="59"/>
      <c r="R10" s="57">
        <f t="shared" si="37"/>
        <v>45675</v>
      </c>
      <c r="S10" s="58">
        <f t="shared" si="18"/>
        <v>2025</v>
      </c>
      <c r="T10" s="58">
        <f t="shared" si="38"/>
        <v>5389246.8062405605</v>
      </c>
      <c r="U10" s="58">
        <f t="shared" si="39"/>
        <v>-91166</v>
      </c>
      <c r="V10" s="58">
        <f t="shared" si="19"/>
        <v>31976.197717027328</v>
      </c>
      <c r="W10" s="58">
        <f t="shared" si="20"/>
        <v>5330057.0039575882</v>
      </c>
      <c r="X10" s="58">
        <f t="shared" si="21"/>
        <v>-59189.802282972669</v>
      </c>
      <c r="Z10" s="57">
        <f t="shared" si="22"/>
        <v>45884</v>
      </c>
      <c r="AA10" s="58">
        <f t="shared" si="4"/>
        <v>2025</v>
      </c>
      <c r="AB10" s="58">
        <f t="shared" si="23"/>
        <v>4607148.1055728607</v>
      </c>
      <c r="AC10" s="58">
        <f t="shared" si="24"/>
        <v>-34780.986771779273</v>
      </c>
      <c r="AD10" s="61">
        <f t="shared" si="5"/>
        <v>45915</v>
      </c>
      <c r="AE10" s="58">
        <f t="shared" si="6"/>
        <v>24955.385571852996</v>
      </c>
      <c r="AF10" s="58">
        <f t="shared" si="7"/>
        <v>4597322.5043729348</v>
      </c>
      <c r="AG10" s="58">
        <f t="shared" si="8"/>
        <v>9825.6011999258772</v>
      </c>
      <c r="AH10" s="57"/>
      <c r="AI10" s="57"/>
      <c r="AJ10" s="58"/>
      <c r="AK10" s="58"/>
      <c r="AL10" s="58"/>
      <c r="AM10" s="58"/>
      <c r="AN10" s="58"/>
      <c r="AO10" s="57"/>
      <c r="AP10" s="57"/>
      <c r="AQ10" s="57">
        <v>45485</v>
      </c>
      <c r="AR10" s="58">
        <f t="shared" si="13"/>
        <v>2024</v>
      </c>
      <c r="AS10" s="58">
        <v>-99644.13</v>
      </c>
      <c r="AT10" s="58">
        <f t="shared" si="28"/>
        <v>830666.2</v>
      </c>
      <c r="AU10" s="58">
        <f t="shared" si="29"/>
        <v>8411.0249013698613</v>
      </c>
      <c r="AV10" s="57"/>
      <c r="AW10" s="57">
        <f t="shared" si="30"/>
        <v>46752</v>
      </c>
      <c r="AX10" s="58">
        <f>-AY9</f>
        <v>-380000</v>
      </c>
      <c r="AY10" s="58">
        <f t="shared" si="31"/>
        <v>0</v>
      </c>
      <c r="BA10" s="57">
        <v>44706</v>
      </c>
      <c r="BB10" s="58">
        <v>750000</v>
      </c>
      <c r="BC10" s="58">
        <f t="shared" si="32"/>
        <v>1699000</v>
      </c>
      <c r="BD10" s="58"/>
      <c r="BE10" s="58"/>
      <c r="BF10" s="58"/>
      <c r="BG10" s="58"/>
      <c r="BH10" s="58"/>
      <c r="BI10" s="58"/>
      <c r="BJ10" s="58"/>
      <c r="BK10" s="58"/>
      <c r="BL10" s="58"/>
      <c r="BM10" s="48"/>
      <c r="BN10" s="1" t="s">
        <v>5</v>
      </c>
      <c r="BQ10" s="58">
        <f>SUM(BQ4:BQ9)</f>
        <v>7449.3476712328766</v>
      </c>
      <c r="BS10" s="57">
        <v>45048</v>
      </c>
      <c r="BT10" s="64">
        <f t="shared" si="14"/>
        <v>2023</v>
      </c>
      <c r="BU10" s="58">
        <v>-250000</v>
      </c>
      <c r="BV10" s="58">
        <f t="shared" si="35"/>
        <v>90000</v>
      </c>
      <c r="BW10" s="58">
        <f t="shared" si="36"/>
        <v>279.45205479452051</v>
      </c>
      <c r="BX10" s="48"/>
    </row>
    <row r="11" spans="2:76">
      <c r="B11" s="49" t="s">
        <v>116</v>
      </c>
      <c r="C11" s="71">
        <f>SUMIFS($N$4:$N$18,$K$4:$K$18,2026)</f>
        <v>263.77365127270883</v>
      </c>
      <c r="D11" s="71">
        <f>SUMIFS($V$5:$V$82,$S$5:$S$82,2026)</f>
        <v>310723.82172135072</v>
      </c>
      <c r="E11" s="71">
        <f>SUMIFS($AE$4:$AE$241,$AA$4:$AA$241,2026)</f>
        <v>293234.15340574528</v>
      </c>
      <c r="F11" s="71">
        <f>AM4</f>
        <v>37500</v>
      </c>
      <c r="G11" s="69">
        <v>2670</v>
      </c>
      <c r="H11" s="70">
        <f t="shared" si="41"/>
        <v>644391.7487783687</v>
      </c>
      <c r="J11" s="57">
        <f t="shared" si="15"/>
        <v>45870</v>
      </c>
      <c r="K11" s="58">
        <f t="shared" si="0"/>
        <v>2025</v>
      </c>
      <c r="L11" s="58">
        <f t="shared" si="16"/>
        <v>98608.498882890213</v>
      </c>
      <c r="M11" s="58">
        <f t="shared" si="17"/>
        <v>-12515</v>
      </c>
      <c r="N11" s="58">
        <f t="shared" si="1"/>
        <v>347.59495856218797</v>
      </c>
      <c r="O11" s="58">
        <f t="shared" si="2"/>
        <v>86441.093841452399</v>
      </c>
      <c r="P11" s="58">
        <f t="shared" si="3"/>
        <v>-12167.405041437813</v>
      </c>
      <c r="Q11" s="59"/>
      <c r="R11" s="57">
        <f t="shared" si="37"/>
        <v>45706</v>
      </c>
      <c r="S11" s="58">
        <f t="shared" si="18"/>
        <v>2025</v>
      </c>
      <c r="T11" s="58">
        <f t="shared" si="38"/>
        <v>5330057.0039575882</v>
      </c>
      <c r="U11" s="58">
        <f t="shared" si="39"/>
        <v>-91166</v>
      </c>
      <c r="V11" s="58">
        <f t="shared" si="19"/>
        <v>31625.004890148357</v>
      </c>
      <c r="W11" s="58">
        <f t="shared" si="20"/>
        <v>5270516.0088477368</v>
      </c>
      <c r="X11" s="58">
        <f t="shared" si="21"/>
        <v>-59540.995109851647</v>
      </c>
      <c r="Z11" s="57">
        <f t="shared" si="22"/>
        <v>45915</v>
      </c>
      <c r="AA11" s="58">
        <f t="shared" si="4"/>
        <v>2025</v>
      </c>
      <c r="AB11" s="58">
        <f t="shared" si="23"/>
        <v>4597322.5043729348</v>
      </c>
      <c r="AC11" s="58">
        <f t="shared" si="24"/>
        <v>-34780.986771779273</v>
      </c>
      <c r="AD11" s="61">
        <f t="shared" si="5"/>
        <v>45945</v>
      </c>
      <c r="AE11" s="58">
        <f t="shared" si="6"/>
        <v>24902.163565353399</v>
      </c>
      <c r="AF11" s="58">
        <f t="shared" si="7"/>
        <v>4587443.6811665092</v>
      </c>
      <c r="AG11" s="58">
        <f t="shared" si="8"/>
        <v>9878.8232064256445</v>
      </c>
      <c r="AH11" s="57"/>
      <c r="AI11" s="57"/>
      <c r="AJ11" s="58"/>
      <c r="AK11" s="58"/>
      <c r="AL11" s="58"/>
      <c r="AM11" s="58"/>
      <c r="AN11" s="58"/>
      <c r="AO11" s="57"/>
      <c r="AP11" s="57"/>
      <c r="AQ11" s="57">
        <v>45489</v>
      </c>
      <c r="AR11" s="58">
        <f t="shared" si="13"/>
        <v>2024</v>
      </c>
      <c r="AS11" s="58">
        <v>-180000</v>
      </c>
      <c r="AT11" s="58">
        <f t="shared" si="28"/>
        <v>650666.19999999995</v>
      </c>
      <c r="AU11" s="58">
        <f t="shared" si="29"/>
        <v>682.73934246575334</v>
      </c>
      <c r="AV11" s="57"/>
      <c r="AW11" s="57"/>
      <c r="AX11" s="58"/>
      <c r="AY11" s="58"/>
      <c r="BA11" s="57">
        <v>44728</v>
      </c>
      <c r="BB11" s="58">
        <v>-750000</v>
      </c>
      <c r="BC11" s="58">
        <f t="shared" si="32"/>
        <v>949000</v>
      </c>
      <c r="BD11" s="58"/>
      <c r="BE11" s="58"/>
      <c r="BF11" s="58"/>
      <c r="BG11" s="58"/>
      <c r="BH11" s="58"/>
      <c r="BI11" s="58"/>
      <c r="BJ11" s="58"/>
      <c r="BK11" s="58"/>
      <c r="BM11" s="48"/>
      <c r="BS11" s="57">
        <v>45048</v>
      </c>
      <c r="BT11" s="64">
        <f t="shared" si="14"/>
        <v>2023</v>
      </c>
      <c r="BU11" s="58">
        <v>10000</v>
      </c>
      <c r="BV11" s="58">
        <f t="shared" si="35"/>
        <v>100000</v>
      </c>
      <c r="BW11" s="58">
        <f t="shared" si="36"/>
        <v>0</v>
      </c>
      <c r="BX11" s="48"/>
    </row>
    <row r="12" spans="2:76">
      <c r="J12" s="57">
        <f t="shared" si="15"/>
        <v>45901</v>
      </c>
      <c r="K12" s="58">
        <f t="shared" si="0"/>
        <v>2025</v>
      </c>
      <c r="L12" s="58">
        <f t="shared" si="16"/>
        <v>86441.093841452399</v>
      </c>
      <c r="M12" s="58">
        <f t="shared" si="17"/>
        <v>-12515</v>
      </c>
      <c r="N12" s="58">
        <f t="shared" si="1"/>
        <v>304.70485579111971</v>
      </c>
      <c r="O12" s="58">
        <f t="shared" si="2"/>
        <v>74230.798697243517</v>
      </c>
      <c r="P12" s="58">
        <f t="shared" si="3"/>
        <v>-12210.29514420888</v>
      </c>
      <c r="Q12" s="59"/>
      <c r="R12" s="57">
        <f t="shared" si="37"/>
        <v>45734</v>
      </c>
      <c r="S12" s="58">
        <f t="shared" si="18"/>
        <v>2025</v>
      </c>
      <c r="T12" s="58">
        <f t="shared" si="38"/>
        <v>5270516.0088477368</v>
      </c>
      <c r="U12" s="58">
        <f t="shared" si="39"/>
        <v>-91166</v>
      </c>
      <c r="V12" s="58">
        <f t="shared" si="19"/>
        <v>31271.728319163241</v>
      </c>
      <c r="W12" s="58">
        <f t="shared" si="20"/>
        <v>5210621.7371669002</v>
      </c>
      <c r="X12" s="58">
        <f t="shared" si="21"/>
        <v>-59894.271680836755</v>
      </c>
      <c r="Z12" s="57">
        <f t="shared" si="22"/>
        <v>45945</v>
      </c>
      <c r="AA12" s="58">
        <f t="shared" si="4"/>
        <v>2025</v>
      </c>
      <c r="AB12" s="58">
        <f t="shared" si="23"/>
        <v>4587443.6811665092</v>
      </c>
      <c r="AC12" s="58">
        <f t="shared" si="24"/>
        <v>-34780.986771779273</v>
      </c>
      <c r="AD12" s="61">
        <f t="shared" si="5"/>
        <v>45976</v>
      </c>
      <c r="AE12" s="58">
        <f t="shared" si="6"/>
        <v>24848.653272985259</v>
      </c>
      <c r="AF12" s="58">
        <f t="shared" si="7"/>
        <v>4577511.3476677155</v>
      </c>
      <c r="AG12" s="58">
        <f t="shared" si="8"/>
        <v>9932.3334987936541</v>
      </c>
      <c r="AH12" s="57"/>
      <c r="AI12" s="57"/>
      <c r="AJ12" s="58"/>
      <c r="AK12" s="58"/>
      <c r="AL12" s="58"/>
      <c r="AM12" s="58"/>
      <c r="AN12" s="58"/>
      <c r="AO12" s="57"/>
      <c r="AP12" s="58"/>
      <c r="AQ12" s="57">
        <v>45657</v>
      </c>
      <c r="AR12" s="58">
        <f t="shared" si="13"/>
        <v>2025</v>
      </c>
      <c r="AS12" s="58">
        <v>0</v>
      </c>
      <c r="AT12" s="58">
        <f t="shared" si="28"/>
        <v>650666.19999999995</v>
      </c>
      <c r="AU12" s="58">
        <f t="shared" si="29"/>
        <v>22461.353753424653</v>
      </c>
      <c r="AV12" s="57"/>
      <c r="AW12" s="57"/>
      <c r="AX12" s="58"/>
      <c r="AY12" s="58"/>
      <c r="BA12" s="57">
        <v>44806</v>
      </c>
      <c r="BB12" s="58">
        <v>51000</v>
      </c>
      <c r="BC12" s="58">
        <f t="shared" si="32"/>
        <v>1000000</v>
      </c>
      <c r="BD12" s="58"/>
      <c r="BE12" s="58">
        <v>49000</v>
      </c>
      <c r="BF12" s="58">
        <f>BE12</f>
        <v>49000</v>
      </c>
      <c r="BG12" s="58"/>
      <c r="BH12" s="58"/>
      <c r="BI12" s="58"/>
      <c r="BJ12" s="58"/>
      <c r="BK12" s="58"/>
      <c r="BM12" s="13"/>
      <c r="BS12" s="57">
        <v>45078</v>
      </c>
      <c r="BT12" s="64">
        <f t="shared" si="14"/>
        <v>2023</v>
      </c>
      <c r="BU12" s="58">
        <v>15000</v>
      </c>
      <c r="BV12" s="58">
        <f t="shared" si="35"/>
        <v>115000</v>
      </c>
      <c r="BW12" s="58">
        <f t="shared" si="36"/>
        <v>616.43835616438355</v>
      </c>
      <c r="BX12" s="13"/>
    </row>
    <row r="13" spans="2:76">
      <c r="J13" s="57">
        <f t="shared" si="15"/>
        <v>45931</v>
      </c>
      <c r="K13" s="58">
        <f t="shared" si="0"/>
        <v>2025</v>
      </c>
      <c r="L13" s="58">
        <f t="shared" si="16"/>
        <v>74230.798697243517</v>
      </c>
      <c r="M13" s="58">
        <f t="shared" si="17"/>
        <v>-12515</v>
      </c>
      <c r="N13" s="58">
        <f t="shared" si="1"/>
        <v>261.66356540778338</v>
      </c>
      <c r="O13" s="58">
        <f t="shared" si="2"/>
        <v>61977.462262651301</v>
      </c>
      <c r="P13" s="58">
        <f t="shared" si="3"/>
        <v>-12253.336434592216</v>
      </c>
      <c r="Q13" s="59"/>
      <c r="R13" s="57">
        <f t="shared" si="37"/>
        <v>45765</v>
      </c>
      <c r="S13" s="58">
        <f t="shared" si="18"/>
        <v>2025</v>
      </c>
      <c r="T13" s="58">
        <f t="shared" si="38"/>
        <v>5210621.7371669002</v>
      </c>
      <c r="U13" s="58">
        <f t="shared" si="39"/>
        <v>-91166</v>
      </c>
      <c r="V13" s="58">
        <f t="shared" si="19"/>
        <v>30916.355640523605</v>
      </c>
      <c r="W13" s="58">
        <f t="shared" si="20"/>
        <v>5150372.0928074243</v>
      </c>
      <c r="X13" s="58">
        <f t="shared" si="21"/>
        <v>-60249.644359476399</v>
      </c>
      <c r="Z13" s="57">
        <f t="shared" si="22"/>
        <v>45976</v>
      </c>
      <c r="AA13" s="58">
        <f t="shared" si="4"/>
        <v>2025</v>
      </c>
      <c r="AB13" s="58">
        <f t="shared" si="23"/>
        <v>4577511.3476677155</v>
      </c>
      <c r="AC13" s="58">
        <f t="shared" si="24"/>
        <v>-34780.986771779273</v>
      </c>
      <c r="AD13" s="61">
        <f t="shared" si="5"/>
        <v>46006</v>
      </c>
      <c r="AE13" s="58">
        <f t="shared" si="6"/>
        <v>24794.853133200126</v>
      </c>
      <c r="AF13" s="58">
        <f t="shared" si="7"/>
        <v>4567525.2140291361</v>
      </c>
      <c r="AG13" s="58">
        <f t="shared" si="8"/>
        <v>9986.1336385793984</v>
      </c>
      <c r="AH13" s="73"/>
      <c r="AI13" s="57"/>
      <c r="AJ13" s="58"/>
      <c r="AK13" s="58"/>
      <c r="AL13" s="58"/>
      <c r="AM13" s="58"/>
      <c r="AN13" s="74"/>
      <c r="AP13" s="58"/>
      <c r="AQ13" s="57">
        <v>45762</v>
      </c>
      <c r="AR13" s="58">
        <f t="shared" si="13"/>
        <v>2025</v>
      </c>
      <c r="AS13" s="58">
        <v>-168696</v>
      </c>
      <c r="AT13" s="58">
        <f t="shared" si="28"/>
        <v>481970.19999999995</v>
      </c>
      <c r="AU13" s="58">
        <f t="shared" si="29"/>
        <v>14038.346095890409</v>
      </c>
      <c r="AV13" s="58"/>
      <c r="AW13" s="58"/>
      <c r="AX13" s="58"/>
      <c r="AY13" s="58"/>
      <c r="BA13" s="57">
        <v>44806</v>
      </c>
      <c r="BB13" s="58"/>
      <c r="BC13" s="58">
        <f t="shared" si="32"/>
        <v>1000000</v>
      </c>
      <c r="BD13" s="58"/>
      <c r="BE13" s="58">
        <v>20000</v>
      </c>
      <c r="BF13" s="58">
        <f t="shared" ref="BF13:BF41" si="42">BE13+BF12</f>
        <v>69000</v>
      </c>
      <c r="BG13" s="58">
        <f t="shared" ref="BG13:BG34" si="43">BF12*(BA13-BA12)/365*0.05</f>
        <v>0</v>
      </c>
      <c r="BH13" s="58"/>
      <c r="BI13" s="58"/>
      <c r="BJ13" s="58"/>
      <c r="BK13" s="58"/>
      <c r="BL13" s="58"/>
      <c r="BM13" s="13"/>
      <c r="BS13" s="57">
        <v>45092</v>
      </c>
      <c r="BT13" s="64">
        <f t="shared" si="14"/>
        <v>2023</v>
      </c>
      <c r="BU13" s="58">
        <v>69000</v>
      </c>
      <c r="BV13" s="58">
        <f t="shared" si="35"/>
        <v>184000</v>
      </c>
      <c r="BW13" s="58">
        <f t="shared" si="36"/>
        <v>330.82191780821921</v>
      </c>
      <c r="BX13" s="13"/>
    </row>
    <row r="14" spans="2:76">
      <c r="J14" s="57">
        <f t="shared" si="15"/>
        <v>45962</v>
      </c>
      <c r="K14" s="58">
        <f t="shared" si="0"/>
        <v>2025</v>
      </c>
      <c r="L14" s="58">
        <f t="shared" si="16"/>
        <v>61977.462262651301</v>
      </c>
      <c r="M14" s="58">
        <f t="shared" si="17"/>
        <v>-12515</v>
      </c>
      <c r="N14" s="58">
        <f t="shared" si="1"/>
        <v>218.47055447584583</v>
      </c>
      <c r="O14" s="58">
        <f t="shared" si="2"/>
        <v>49680.932817127148</v>
      </c>
      <c r="P14" s="58">
        <f t="shared" si="3"/>
        <v>-12296.529445524155</v>
      </c>
      <c r="Q14" s="59"/>
      <c r="R14" s="57">
        <f t="shared" si="37"/>
        <v>45795</v>
      </c>
      <c r="S14" s="58">
        <f t="shared" si="18"/>
        <v>2025</v>
      </c>
      <c r="T14" s="58">
        <f t="shared" si="38"/>
        <v>5150372.0928074243</v>
      </c>
      <c r="U14" s="58">
        <f t="shared" si="39"/>
        <v>-91166</v>
      </c>
      <c r="V14" s="58">
        <f t="shared" si="19"/>
        <v>30558.874417324052</v>
      </c>
      <c r="W14" s="58">
        <f t="shared" si="20"/>
        <v>5089764.9672247479</v>
      </c>
      <c r="X14" s="58">
        <f t="shared" si="21"/>
        <v>-60607.125582675944</v>
      </c>
      <c r="Z14" s="57">
        <f t="shared" si="22"/>
        <v>46006</v>
      </c>
      <c r="AA14" s="58">
        <f t="shared" si="4"/>
        <v>2026</v>
      </c>
      <c r="AB14" s="58">
        <f t="shared" si="23"/>
        <v>4567525.2140291361</v>
      </c>
      <c r="AC14" s="58">
        <f t="shared" si="24"/>
        <v>-34780.986771779273</v>
      </c>
      <c r="AD14" s="61">
        <f t="shared" si="5"/>
        <v>46037</v>
      </c>
      <c r="AE14" s="58">
        <f t="shared" si="6"/>
        <v>24740.761575991153</v>
      </c>
      <c r="AF14" s="58">
        <f t="shared" si="7"/>
        <v>4557484.9888333483</v>
      </c>
      <c r="AG14" s="58">
        <f t="shared" si="8"/>
        <v>10040.225195787847</v>
      </c>
      <c r="AH14" s="75"/>
      <c r="AI14" s="57"/>
      <c r="AJ14" s="58"/>
      <c r="AK14" s="58"/>
      <c r="AL14" s="58"/>
      <c r="AM14" s="76"/>
      <c r="AN14" s="58"/>
      <c r="AO14" s="58"/>
      <c r="AP14" s="76"/>
      <c r="AQ14" s="57">
        <v>45820</v>
      </c>
      <c r="AR14" s="58">
        <f t="shared" si="13"/>
        <v>2025</v>
      </c>
      <c r="AS14" s="58">
        <v>-50000</v>
      </c>
      <c r="AT14" s="58">
        <f t="shared" si="28"/>
        <v>431970.19999999995</v>
      </c>
      <c r="AU14" s="58">
        <f t="shared" si="29"/>
        <v>5744.0284109589038</v>
      </c>
      <c r="AV14" s="57"/>
      <c r="AW14" s="57"/>
      <c r="AX14" s="58"/>
      <c r="AY14" s="58"/>
      <c r="BA14" s="57">
        <v>44811</v>
      </c>
      <c r="BB14" s="58"/>
      <c r="BC14" s="58">
        <f t="shared" si="32"/>
        <v>1000000</v>
      </c>
      <c r="BD14" s="58"/>
      <c r="BE14" s="58">
        <v>200000</v>
      </c>
      <c r="BF14" s="58">
        <f t="shared" si="42"/>
        <v>269000</v>
      </c>
      <c r="BG14" s="58">
        <f t="shared" si="43"/>
        <v>47.260273972602739</v>
      </c>
      <c r="BH14" s="58"/>
      <c r="BI14" s="58"/>
      <c r="BJ14" s="58"/>
      <c r="BK14" s="58"/>
      <c r="BL14" s="58"/>
      <c r="BM14" s="13"/>
      <c r="BS14" s="57">
        <v>45107</v>
      </c>
      <c r="BT14" s="64">
        <f t="shared" si="14"/>
        <v>2023</v>
      </c>
      <c r="BU14" s="58">
        <v>7500</v>
      </c>
      <c r="BV14" s="58">
        <f t="shared" si="35"/>
        <v>191500</v>
      </c>
      <c r="BW14" s="58">
        <f t="shared" si="36"/>
        <v>567.1232876712329</v>
      </c>
      <c r="BX14" s="13"/>
    </row>
    <row r="15" spans="2:76">
      <c r="I15" s="42"/>
      <c r="J15" s="57">
        <f t="shared" si="15"/>
        <v>45992</v>
      </c>
      <c r="K15" s="58">
        <v>2025</v>
      </c>
      <c r="L15" s="58">
        <f t="shared" si="16"/>
        <v>49680.932817127148</v>
      </c>
      <c r="M15" s="58">
        <f t="shared" si="17"/>
        <v>-12515</v>
      </c>
      <c r="N15" s="58">
        <f t="shared" si="1"/>
        <v>175.12528818037319</v>
      </c>
      <c r="O15" s="58">
        <f t="shared" si="2"/>
        <v>37341.058105307522</v>
      </c>
      <c r="P15" s="58">
        <f t="shared" si="3"/>
        <v>-12339.874711819626</v>
      </c>
      <c r="Q15" s="59"/>
      <c r="R15" s="57">
        <f t="shared" si="37"/>
        <v>45826</v>
      </c>
      <c r="S15" s="58">
        <f t="shared" si="18"/>
        <v>2025</v>
      </c>
      <c r="T15" s="58">
        <f t="shared" si="38"/>
        <v>5089764.9672247479</v>
      </c>
      <c r="U15" s="58">
        <f t="shared" si="39"/>
        <v>-91166</v>
      </c>
      <c r="V15" s="58">
        <f t="shared" si="19"/>
        <v>30199.27213886684</v>
      </c>
      <c r="W15" s="58">
        <f t="shared" si="20"/>
        <v>5028798.2393636145</v>
      </c>
      <c r="X15" s="58">
        <f t="shared" si="21"/>
        <v>-60966.727861133157</v>
      </c>
      <c r="Z15" s="57">
        <f t="shared" si="22"/>
        <v>46037</v>
      </c>
      <c r="AA15" s="58">
        <f t="shared" si="4"/>
        <v>2026</v>
      </c>
      <c r="AB15" s="58">
        <f t="shared" si="23"/>
        <v>4557484.9888333483</v>
      </c>
      <c r="AC15" s="58">
        <f t="shared" si="24"/>
        <v>-34780.986771779273</v>
      </c>
      <c r="AD15" s="61">
        <f t="shared" si="5"/>
        <v>46068</v>
      </c>
      <c r="AE15" s="58">
        <f t="shared" si="6"/>
        <v>24686.377022847304</v>
      </c>
      <c r="AF15" s="58">
        <f t="shared" si="7"/>
        <v>4547390.3790844167</v>
      </c>
      <c r="AG15" s="58">
        <f t="shared" si="8"/>
        <v>10094.609748931602</v>
      </c>
      <c r="AH15" s="58"/>
      <c r="AI15" s="57"/>
      <c r="AJ15" s="58"/>
      <c r="AK15" s="58"/>
      <c r="AL15" s="58"/>
      <c r="AM15" s="76"/>
      <c r="AN15" s="58"/>
      <c r="AO15" s="58"/>
      <c r="AP15" s="76"/>
      <c r="AQ15" s="57">
        <v>45825</v>
      </c>
      <c r="AR15" s="58">
        <f t="shared" si="13"/>
        <v>2025</v>
      </c>
      <c r="AS15" s="58">
        <v>-40000</v>
      </c>
      <c r="AT15" s="58">
        <f t="shared" si="28"/>
        <v>391970.19999999995</v>
      </c>
      <c r="AU15" s="58">
        <f t="shared" si="29"/>
        <v>443.80499999999995</v>
      </c>
      <c r="AV15" s="57"/>
      <c r="AW15" s="57"/>
      <c r="AX15" s="58"/>
      <c r="AY15" s="58"/>
      <c r="BA15" s="57">
        <v>44831</v>
      </c>
      <c r="BB15" s="58"/>
      <c r="BC15" s="58">
        <f t="shared" si="32"/>
        <v>1000000</v>
      </c>
      <c r="BD15" s="58"/>
      <c r="BE15" s="58">
        <v>-70000</v>
      </c>
      <c r="BF15" s="58">
        <f t="shared" si="42"/>
        <v>199000</v>
      </c>
      <c r="BG15" s="58">
        <f t="shared" si="43"/>
        <v>736.9863013698631</v>
      </c>
      <c r="BH15" s="58"/>
      <c r="BI15" s="58"/>
      <c r="BJ15" s="58"/>
      <c r="BK15" s="58"/>
      <c r="BL15" s="58"/>
      <c r="BM15" s="13"/>
      <c r="BS15" s="57">
        <v>45107</v>
      </c>
      <c r="BT15" s="64">
        <f t="shared" si="14"/>
        <v>2023</v>
      </c>
      <c r="BU15" s="58">
        <v>5000</v>
      </c>
      <c r="BV15" s="58">
        <f t="shared" si="35"/>
        <v>196500</v>
      </c>
      <c r="BW15" s="58">
        <f t="shared" si="36"/>
        <v>0</v>
      </c>
      <c r="BX15" s="13"/>
    </row>
    <row r="16" spans="2:76">
      <c r="J16" s="57">
        <f t="shared" si="15"/>
        <v>46023</v>
      </c>
      <c r="K16" s="58">
        <f t="shared" ref="K16:K18" si="44">YEAR(J17)</f>
        <v>2026</v>
      </c>
      <c r="L16" s="58">
        <f t="shared" si="16"/>
        <v>37341.058105307522</v>
      </c>
      <c r="M16" s="58">
        <f t="shared" si="17"/>
        <v>-12515</v>
      </c>
      <c r="N16" s="58">
        <f t="shared" si="1"/>
        <v>131.627229821209</v>
      </c>
      <c r="O16" s="58">
        <f t="shared" si="2"/>
        <v>24957.685335128732</v>
      </c>
      <c r="P16" s="58">
        <f t="shared" si="3"/>
        <v>-12383.37277017879</v>
      </c>
      <c r="Q16" s="59"/>
      <c r="R16" s="57">
        <f t="shared" si="37"/>
        <v>45856</v>
      </c>
      <c r="S16" s="58">
        <f t="shared" si="18"/>
        <v>2025</v>
      </c>
      <c r="T16" s="58">
        <f t="shared" si="38"/>
        <v>5028798.2393636145</v>
      </c>
      <c r="U16" s="58">
        <f t="shared" si="39"/>
        <v>-91166</v>
      </c>
      <c r="V16" s="58">
        <f t="shared" si="19"/>
        <v>29837.536220224112</v>
      </c>
      <c r="W16" s="58">
        <f t="shared" si="20"/>
        <v>4967469.775583839</v>
      </c>
      <c r="X16" s="58">
        <f t="shared" si="21"/>
        <v>-61328.463779775891</v>
      </c>
      <c r="Z16" s="57">
        <f t="shared" si="22"/>
        <v>46068</v>
      </c>
      <c r="AA16" s="58">
        <f t="shared" si="4"/>
        <v>2026</v>
      </c>
      <c r="AB16" s="58">
        <f t="shared" si="23"/>
        <v>4547390.3790844167</v>
      </c>
      <c r="AC16" s="58">
        <f t="shared" si="24"/>
        <v>-34780.986771779273</v>
      </c>
      <c r="AD16" s="61">
        <f t="shared" si="5"/>
        <v>46096</v>
      </c>
      <c r="AE16" s="58">
        <f t="shared" si="6"/>
        <v>24631.697886707258</v>
      </c>
      <c r="AF16" s="58">
        <f t="shared" si="7"/>
        <v>4537241.0901993448</v>
      </c>
      <c r="AG16" s="58">
        <f t="shared" si="8"/>
        <v>10149.288885071874</v>
      </c>
      <c r="AH16" s="57"/>
      <c r="AI16" s="57"/>
      <c r="AJ16" s="58"/>
      <c r="AK16" s="58"/>
      <c r="AL16" s="58"/>
      <c r="AM16" s="76"/>
      <c r="AN16" s="58"/>
      <c r="AO16" s="58"/>
      <c r="AP16" s="76"/>
      <c r="AQ16" s="57">
        <v>45825</v>
      </c>
      <c r="AR16" s="58">
        <f t="shared" si="13"/>
        <v>2025</v>
      </c>
      <c r="AS16" s="58">
        <v>0</v>
      </c>
      <c r="AT16" s="58">
        <f t="shared" si="28"/>
        <v>391970.19999999995</v>
      </c>
      <c r="AU16" s="58">
        <v>-10000</v>
      </c>
      <c r="AV16" s="58"/>
      <c r="AW16" s="58"/>
      <c r="AX16" s="58"/>
      <c r="AY16" s="58"/>
      <c r="AZ16" s="58"/>
      <c r="BA16" s="57">
        <v>44858</v>
      </c>
      <c r="BB16" s="58"/>
      <c r="BC16" s="58">
        <f t="shared" si="32"/>
        <v>1000000</v>
      </c>
      <c r="BD16" s="58"/>
      <c r="BE16" s="58">
        <v>100000</v>
      </c>
      <c r="BF16" s="58">
        <f t="shared" si="42"/>
        <v>299000</v>
      </c>
      <c r="BG16" s="58">
        <f t="shared" si="43"/>
        <v>736.02739726027403</v>
      </c>
      <c r="BH16" s="58"/>
      <c r="BI16" s="58"/>
      <c r="BJ16" s="58"/>
      <c r="BK16" s="58"/>
      <c r="BL16" s="58"/>
      <c r="BM16" s="13"/>
      <c r="BS16" s="57">
        <v>45113</v>
      </c>
      <c r="BT16" s="64">
        <f t="shared" si="14"/>
        <v>2023</v>
      </c>
      <c r="BU16" s="58">
        <v>-7500</v>
      </c>
      <c r="BV16" s="58">
        <f t="shared" si="35"/>
        <v>189000</v>
      </c>
      <c r="BW16" s="58">
        <f t="shared" si="36"/>
        <v>242.26027397260273</v>
      </c>
      <c r="BX16" s="13"/>
    </row>
    <row r="17" spans="2:76">
      <c r="J17" s="57">
        <f t="shared" si="15"/>
        <v>46054</v>
      </c>
      <c r="K17" s="58">
        <f t="shared" si="44"/>
        <v>2026</v>
      </c>
      <c r="L17" s="58">
        <f t="shared" si="16"/>
        <v>24957.685335128732</v>
      </c>
      <c r="M17" s="58">
        <f t="shared" si="17"/>
        <v>-12515</v>
      </c>
      <c r="N17" s="58">
        <f t="shared" si="1"/>
        <v>87.975840806328776</v>
      </c>
      <c r="O17" s="58">
        <f t="shared" si="2"/>
        <v>12530.66117593506</v>
      </c>
      <c r="P17" s="58">
        <f t="shared" si="3"/>
        <v>-12427.024159193672</v>
      </c>
      <c r="Q17" s="59"/>
      <c r="R17" s="57">
        <f t="shared" si="37"/>
        <v>45887</v>
      </c>
      <c r="S17" s="58">
        <f t="shared" si="18"/>
        <v>2025</v>
      </c>
      <c r="T17" s="58">
        <f t="shared" si="38"/>
        <v>4967469.775583839</v>
      </c>
      <c r="U17" s="58">
        <f t="shared" si="39"/>
        <v>-91166</v>
      </c>
      <c r="V17" s="58">
        <f t="shared" si="19"/>
        <v>29473.654001797444</v>
      </c>
      <c r="W17" s="58">
        <f t="shared" si="20"/>
        <v>4905777.4295856366</v>
      </c>
      <c r="X17" s="58">
        <f t="shared" si="21"/>
        <v>-61692.345998202552</v>
      </c>
      <c r="Z17" s="57">
        <f t="shared" si="22"/>
        <v>46096</v>
      </c>
      <c r="AA17" s="58">
        <f t="shared" si="4"/>
        <v>2026</v>
      </c>
      <c r="AB17" s="58">
        <f t="shared" si="23"/>
        <v>4537241.0901993448</v>
      </c>
      <c r="AC17" s="58">
        <f t="shared" si="24"/>
        <v>-34780.986771779273</v>
      </c>
      <c r="AD17" s="61">
        <f t="shared" si="5"/>
        <v>46127</v>
      </c>
      <c r="AE17" s="58">
        <f t="shared" si="6"/>
        <v>24576.72257191312</v>
      </c>
      <c r="AF17" s="58">
        <f t="shared" si="7"/>
        <v>4527036.8259994788</v>
      </c>
      <c r="AG17" s="58">
        <f t="shared" si="8"/>
        <v>10204.264199865982</v>
      </c>
      <c r="AH17" s="57"/>
      <c r="AI17" s="57"/>
      <c r="AJ17" s="58"/>
      <c r="AK17" s="58"/>
      <c r="AL17" s="58"/>
      <c r="AM17" s="76"/>
      <c r="AN17" s="58"/>
      <c r="AO17" s="58"/>
      <c r="AP17" s="76"/>
      <c r="AQ17" s="57">
        <v>45834</v>
      </c>
      <c r="AR17" s="58">
        <f t="shared" si="13"/>
        <v>2025</v>
      </c>
      <c r="AS17" s="58">
        <v>-5000</v>
      </c>
      <c r="AT17" s="58">
        <f t="shared" si="28"/>
        <v>386970.19999999995</v>
      </c>
      <c r="AU17" s="58">
        <f t="shared" ref="AU17:AU18" si="45">AT16*(AQ17-AQ16)/365*$AU$2</f>
        <v>724.87639726027385</v>
      </c>
      <c r="AV17" s="77"/>
      <c r="AW17" s="77"/>
      <c r="AX17" s="58"/>
      <c r="AY17" s="58"/>
      <c r="AZ17" s="58"/>
      <c r="BA17" s="57">
        <v>44867</v>
      </c>
      <c r="BB17" s="58"/>
      <c r="BC17" s="58">
        <f t="shared" si="32"/>
        <v>1000000</v>
      </c>
      <c r="BD17" s="58"/>
      <c r="BE17" s="58">
        <v>50000</v>
      </c>
      <c r="BF17" s="58">
        <f t="shared" si="42"/>
        <v>349000</v>
      </c>
      <c r="BG17" s="58">
        <f t="shared" si="43"/>
        <v>368.63013698630141</v>
      </c>
      <c r="BH17" s="58"/>
      <c r="BI17" s="58"/>
      <c r="BJ17" s="58"/>
      <c r="BK17" s="58"/>
      <c r="BL17" s="58"/>
      <c r="BM17" s="13"/>
      <c r="BS17" s="57">
        <v>45117</v>
      </c>
      <c r="BT17" s="64">
        <f t="shared" si="14"/>
        <v>2023</v>
      </c>
      <c r="BU17" s="58">
        <v>-5000</v>
      </c>
      <c r="BV17" s="58">
        <f t="shared" si="35"/>
        <v>184000</v>
      </c>
      <c r="BW17" s="58">
        <f t="shared" si="36"/>
        <v>155.34246575342465</v>
      </c>
      <c r="BX17" s="13"/>
    </row>
    <row r="18" spans="2:76">
      <c r="J18" s="57">
        <f t="shared" si="15"/>
        <v>46082</v>
      </c>
      <c r="K18" s="58">
        <f t="shared" si="44"/>
        <v>2026</v>
      </c>
      <c r="L18" s="58">
        <f t="shared" si="16"/>
        <v>12530.66117593506</v>
      </c>
      <c r="M18" s="58">
        <f t="shared" si="17"/>
        <v>-12515</v>
      </c>
      <c r="N18" s="58">
        <f t="shared" si="1"/>
        <v>44.170580645171086</v>
      </c>
      <c r="O18" s="58">
        <f t="shared" si="2"/>
        <v>59.831756580230959</v>
      </c>
      <c r="P18" s="58">
        <f t="shared" si="3"/>
        <v>-12470.829419354828</v>
      </c>
      <c r="Q18" s="59"/>
      <c r="R18" s="57">
        <f t="shared" si="37"/>
        <v>45918</v>
      </c>
      <c r="S18" s="58">
        <f t="shared" si="18"/>
        <v>2025</v>
      </c>
      <c r="T18" s="58">
        <f t="shared" si="38"/>
        <v>4905777.4295856366</v>
      </c>
      <c r="U18" s="58">
        <f t="shared" si="39"/>
        <v>-91166</v>
      </c>
      <c r="V18" s="58">
        <f t="shared" si="19"/>
        <v>29107.612748874777</v>
      </c>
      <c r="W18" s="58">
        <f t="shared" si="20"/>
        <v>4843719.0423345109</v>
      </c>
      <c r="X18" s="58">
        <f t="shared" si="21"/>
        <v>-62058.387251125227</v>
      </c>
      <c r="Z18" s="57">
        <f t="shared" si="22"/>
        <v>46127</v>
      </c>
      <c r="AA18" s="58">
        <f t="shared" si="4"/>
        <v>2026</v>
      </c>
      <c r="AB18" s="58">
        <f t="shared" si="23"/>
        <v>4527036.8259994788</v>
      </c>
      <c r="AC18" s="58">
        <f t="shared" si="24"/>
        <v>-34780.986771779273</v>
      </c>
      <c r="AD18" s="61">
        <f t="shared" si="5"/>
        <v>46157</v>
      </c>
      <c r="AE18" s="58">
        <f t="shared" si="6"/>
        <v>24521.449474163845</v>
      </c>
      <c r="AF18" s="58">
        <f t="shared" si="7"/>
        <v>4516777.288701864</v>
      </c>
      <c r="AG18" s="58">
        <f t="shared" si="8"/>
        <v>10259.53729761485</v>
      </c>
      <c r="AH18" s="57"/>
      <c r="AI18" s="57"/>
      <c r="AJ18" s="58"/>
      <c r="AK18" s="58"/>
      <c r="AL18" s="58"/>
      <c r="AM18" s="76"/>
      <c r="AN18" s="58"/>
      <c r="AO18" s="58"/>
      <c r="AP18" s="76"/>
      <c r="AQ18" s="57">
        <v>45847</v>
      </c>
      <c r="AR18" s="58">
        <f t="shared" si="13"/>
        <v>2025</v>
      </c>
      <c r="AS18" s="58">
        <v>0</v>
      </c>
      <c r="AT18" s="58">
        <f t="shared" si="28"/>
        <v>386970.19999999995</v>
      </c>
      <c r="AU18" s="58">
        <f t="shared" si="45"/>
        <v>1033.687520547945</v>
      </c>
      <c r="AV18" s="77"/>
      <c r="AW18" s="77"/>
      <c r="AX18" s="78"/>
      <c r="AY18" s="60"/>
      <c r="AZ18" s="58"/>
      <c r="BA18" s="57">
        <v>44936</v>
      </c>
      <c r="BB18" s="58"/>
      <c r="BC18" s="58">
        <f t="shared" si="32"/>
        <v>1000000</v>
      </c>
      <c r="BD18" s="58"/>
      <c r="BE18" s="58">
        <v>151000</v>
      </c>
      <c r="BF18" s="58">
        <f t="shared" si="42"/>
        <v>500000</v>
      </c>
      <c r="BG18" s="58">
        <f t="shared" si="43"/>
        <v>3298.767123287671</v>
      </c>
      <c r="BH18" s="46"/>
      <c r="BI18" s="58">
        <f>230000-151000</f>
        <v>79000</v>
      </c>
      <c r="BJ18" s="58">
        <f>BI18</f>
        <v>79000</v>
      </c>
      <c r="BK18" s="46">
        <v>7.4999999999999997E-2</v>
      </c>
      <c r="BL18" s="58"/>
      <c r="BM18" s="13"/>
      <c r="BS18" s="57">
        <v>45159</v>
      </c>
      <c r="BT18" s="64">
        <f t="shared" si="14"/>
        <v>2023</v>
      </c>
      <c r="BU18" s="58">
        <v>-50000</v>
      </c>
      <c r="BV18" s="58">
        <f t="shared" si="35"/>
        <v>134000</v>
      </c>
      <c r="BW18" s="58">
        <f t="shared" si="36"/>
        <v>1587.9452054794519</v>
      </c>
      <c r="BX18" s="13"/>
    </row>
    <row r="19" spans="2:76">
      <c r="J19" s="57">
        <f t="shared" si="15"/>
        <v>46113</v>
      </c>
      <c r="K19" s="58"/>
      <c r="L19" s="58"/>
      <c r="M19" s="58"/>
      <c r="N19" s="58"/>
      <c r="O19" s="58"/>
      <c r="P19" s="58"/>
      <c r="Q19" s="59"/>
      <c r="R19" s="57">
        <f t="shared" si="37"/>
        <v>45948</v>
      </c>
      <c r="S19" s="58">
        <f t="shared" si="18"/>
        <v>2025</v>
      </c>
      <c r="T19" s="58">
        <f t="shared" si="38"/>
        <v>4843719.0423345109</v>
      </c>
      <c r="U19" s="58">
        <f t="shared" si="39"/>
        <v>-91166</v>
      </c>
      <c r="V19" s="58">
        <f t="shared" si="19"/>
        <v>28739.399651184765</v>
      </c>
      <c r="W19" s="58">
        <f t="shared" si="20"/>
        <v>4781292.4419856956</v>
      </c>
      <c r="X19" s="58">
        <f t="shared" si="21"/>
        <v>-62426.600348815235</v>
      </c>
      <c r="Z19" s="57">
        <f t="shared" si="22"/>
        <v>46157</v>
      </c>
      <c r="AA19" s="58">
        <f t="shared" si="4"/>
        <v>2026</v>
      </c>
      <c r="AB19" s="58">
        <f t="shared" si="23"/>
        <v>4516777.288701864</v>
      </c>
      <c r="AC19" s="58">
        <f t="shared" si="24"/>
        <v>-34780.986771779273</v>
      </c>
      <c r="AD19" s="61">
        <f t="shared" si="5"/>
        <v>46188</v>
      </c>
      <c r="AE19" s="58">
        <f t="shared" si="6"/>
        <v>24465.876980468431</v>
      </c>
      <c r="AF19" s="58">
        <f t="shared" si="7"/>
        <v>4506462.1789105535</v>
      </c>
      <c r="AG19" s="58">
        <f t="shared" si="8"/>
        <v>10315.109791310504</v>
      </c>
      <c r="AH19" s="57"/>
      <c r="AI19" s="57"/>
      <c r="AJ19" s="58"/>
      <c r="AK19" s="58"/>
      <c r="AL19" s="58"/>
      <c r="AM19" s="76"/>
      <c r="AN19" s="58"/>
      <c r="AO19" s="58"/>
      <c r="AP19" s="76"/>
      <c r="AQ19" s="57">
        <v>45847</v>
      </c>
      <c r="AR19" s="58">
        <f t="shared" si="13"/>
        <v>2025</v>
      </c>
      <c r="AS19" s="58">
        <v>0</v>
      </c>
      <c r="AT19" s="58">
        <f t="shared" si="28"/>
        <v>386970.19999999995</v>
      </c>
      <c r="AU19" s="58">
        <f>-SUM(AU6:AU18)</f>
        <v>-56010.203887671232</v>
      </c>
      <c r="AV19" s="77"/>
      <c r="AW19" s="77"/>
      <c r="AX19" s="78"/>
      <c r="AY19" s="58"/>
      <c r="AZ19" s="58"/>
      <c r="BA19" s="57">
        <v>45210</v>
      </c>
      <c r="BB19" s="58"/>
      <c r="BC19" s="58">
        <f t="shared" si="32"/>
        <v>1000000</v>
      </c>
      <c r="BD19" s="58"/>
      <c r="BE19" s="58"/>
      <c r="BF19" s="58">
        <f t="shared" si="42"/>
        <v>500000</v>
      </c>
      <c r="BG19" s="58">
        <f t="shared" si="43"/>
        <v>18767.123287671235</v>
      </c>
      <c r="BH19" s="46"/>
      <c r="BI19" s="58">
        <v>250000</v>
      </c>
      <c r="BJ19" s="58">
        <f t="shared" ref="BJ19:BJ35" si="46">BI19+BJ18</f>
        <v>329000</v>
      </c>
      <c r="BK19" s="46">
        <v>7.4999999999999997E-2</v>
      </c>
      <c r="BL19" s="58">
        <f t="shared" ref="BL19:BL29" si="47">BJ18*(BA19-BA18)/365*(0.025+BK18)</f>
        <v>5930.41095890411</v>
      </c>
      <c r="BM19" s="13"/>
      <c r="BS19" s="57">
        <v>45168</v>
      </c>
      <c r="BT19" s="64">
        <f t="shared" si="14"/>
        <v>2023</v>
      </c>
      <c r="BU19" s="58">
        <v>-50000</v>
      </c>
      <c r="BV19" s="58">
        <f t="shared" si="35"/>
        <v>84000</v>
      </c>
      <c r="BW19" s="58">
        <f t="shared" si="36"/>
        <v>247.80821917808217</v>
      </c>
      <c r="BX19" s="13"/>
    </row>
    <row r="20" spans="2:76">
      <c r="J20" s="57"/>
      <c r="K20" s="58"/>
      <c r="L20" s="58"/>
      <c r="M20" s="58"/>
      <c r="N20" s="58"/>
      <c r="O20" s="58"/>
      <c r="P20" s="58"/>
      <c r="Q20" s="59"/>
      <c r="R20" s="79">
        <f t="shared" si="37"/>
        <v>45979</v>
      </c>
      <c r="S20" s="80">
        <f t="shared" si="18"/>
        <v>2025</v>
      </c>
      <c r="T20" s="80">
        <f t="shared" si="38"/>
        <v>4781292.4419856956</v>
      </c>
      <c r="U20" s="80">
        <f t="shared" si="39"/>
        <v>-91166</v>
      </c>
      <c r="V20" s="80">
        <f t="shared" si="19"/>
        <v>28369.001822448463</v>
      </c>
      <c r="W20" s="80">
        <f t="shared" si="20"/>
        <v>4718495.443808144</v>
      </c>
      <c r="X20" s="80">
        <f t="shared" si="21"/>
        <v>-62796.998177551533</v>
      </c>
      <c r="Z20" s="57">
        <f t="shared" si="22"/>
        <v>46188</v>
      </c>
      <c r="AA20" s="58">
        <f t="shared" si="4"/>
        <v>2026</v>
      </c>
      <c r="AB20" s="58">
        <f t="shared" si="23"/>
        <v>4506462.1789105535</v>
      </c>
      <c r="AC20" s="58">
        <f t="shared" si="24"/>
        <v>-34780.986771779273</v>
      </c>
      <c r="AD20" s="61">
        <f t="shared" si="5"/>
        <v>46218</v>
      </c>
      <c r="AE20" s="58">
        <f t="shared" si="6"/>
        <v>24410.003469098832</v>
      </c>
      <c r="AF20" s="58">
        <f t="shared" si="7"/>
        <v>4496091.1956078736</v>
      </c>
      <c r="AG20" s="58">
        <f t="shared" si="8"/>
        <v>10370.983302679844</v>
      </c>
      <c r="AH20" s="57"/>
      <c r="AI20" s="57"/>
      <c r="AJ20" s="58"/>
      <c r="AK20" s="58"/>
      <c r="AL20" s="58"/>
      <c r="AM20" s="76"/>
      <c r="AN20" s="58"/>
      <c r="AO20" s="58"/>
      <c r="AP20" s="76"/>
      <c r="AQ20" s="57">
        <v>45868</v>
      </c>
      <c r="AR20" s="58">
        <f t="shared" si="13"/>
        <v>2025</v>
      </c>
      <c r="AS20" s="58">
        <v>-5000</v>
      </c>
      <c r="AT20" s="58">
        <f t="shared" si="28"/>
        <v>381970.19999999995</v>
      </c>
      <c r="AU20" s="58">
        <f t="shared" ref="AU20:AU26" si="48">AT19*(AQ20-AQ19)/365*$AU$2</f>
        <v>1669.802917808219</v>
      </c>
      <c r="AV20" s="77"/>
      <c r="AW20" s="77"/>
      <c r="AX20" s="78"/>
      <c r="AY20" s="58"/>
      <c r="AZ20" s="60"/>
      <c r="BA20" s="57">
        <v>45238</v>
      </c>
      <c r="BB20" s="58"/>
      <c r="BC20" s="58">
        <f t="shared" si="32"/>
        <v>1000000</v>
      </c>
      <c r="BD20" s="58"/>
      <c r="BE20" s="58"/>
      <c r="BF20" s="58">
        <f t="shared" si="42"/>
        <v>500000</v>
      </c>
      <c r="BG20" s="58">
        <f t="shared" si="43"/>
        <v>1917.8082191780823</v>
      </c>
      <c r="BH20" s="46"/>
      <c r="BI20" s="58">
        <v>400000</v>
      </c>
      <c r="BJ20" s="58">
        <f t="shared" si="46"/>
        <v>729000</v>
      </c>
      <c r="BK20" s="46">
        <v>7.4999999999999997E-2</v>
      </c>
      <c r="BL20" s="58">
        <f t="shared" si="47"/>
        <v>2523.8356164383563</v>
      </c>
      <c r="BM20" s="13"/>
      <c r="BS20" s="57">
        <v>45175</v>
      </c>
      <c r="BT20" s="64">
        <f t="shared" si="14"/>
        <v>2023</v>
      </c>
      <c r="BU20" s="58">
        <v>10000</v>
      </c>
      <c r="BV20" s="58">
        <f t="shared" si="35"/>
        <v>94000</v>
      </c>
      <c r="BW20" s="58">
        <f t="shared" si="36"/>
        <v>120.82191780821918</v>
      </c>
      <c r="BX20" s="13"/>
    </row>
    <row r="21" spans="2:76">
      <c r="B21" s="1"/>
      <c r="C21" s="1"/>
      <c r="D21" s="1"/>
      <c r="E21" s="1"/>
      <c r="F21" s="1"/>
      <c r="G21" s="1"/>
      <c r="J21" s="57"/>
      <c r="K21" s="58"/>
      <c r="L21" s="58"/>
      <c r="M21" s="58"/>
      <c r="N21" s="58"/>
      <c r="O21" s="58">
        <v>6430832.0300000003</v>
      </c>
      <c r="P21" s="58">
        <v>4695864.88</v>
      </c>
      <c r="Q21" s="59"/>
      <c r="R21" s="57">
        <f t="shared" si="37"/>
        <v>46009</v>
      </c>
      <c r="S21" s="58">
        <f t="shared" si="18"/>
        <v>2026</v>
      </c>
      <c r="T21" s="58">
        <f t="shared" si="38"/>
        <v>4718495.443808144</v>
      </c>
      <c r="U21" s="58">
        <f t="shared" si="39"/>
        <v>-91166</v>
      </c>
      <c r="V21" s="58">
        <f t="shared" si="19"/>
        <v>27996.40629992832</v>
      </c>
      <c r="W21" s="58">
        <f t="shared" si="20"/>
        <v>4655325.8501080722</v>
      </c>
      <c r="X21" s="58">
        <f t="shared" si="21"/>
        <v>-63169.59370007168</v>
      </c>
      <c r="Z21" s="57">
        <f t="shared" si="22"/>
        <v>46218</v>
      </c>
      <c r="AA21" s="58">
        <f t="shared" si="4"/>
        <v>2026</v>
      </c>
      <c r="AB21" s="58">
        <f t="shared" si="23"/>
        <v>4496091.1956078736</v>
      </c>
      <c r="AC21" s="58">
        <f t="shared" si="24"/>
        <v>-34780.986771779273</v>
      </c>
      <c r="AD21" s="61">
        <f t="shared" si="5"/>
        <v>46249</v>
      </c>
      <c r="AE21" s="58">
        <f t="shared" si="6"/>
        <v>24353.827309542648</v>
      </c>
      <c r="AF21" s="58">
        <f t="shared" si="7"/>
        <v>4485664.0361456368</v>
      </c>
      <c r="AG21" s="58">
        <f t="shared" si="8"/>
        <v>10427.159462236799</v>
      </c>
      <c r="AH21" s="57"/>
      <c r="AI21" s="57"/>
      <c r="AJ21" s="58"/>
      <c r="AK21" s="58"/>
      <c r="AL21" s="58"/>
      <c r="AM21" s="76"/>
      <c r="AN21" s="58"/>
      <c r="AO21" s="58"/>
      <c r="AP21" s="76"/>
      <c r="AQ21" s="57">
        <v>45900</v>
      </c>
      <c r="AR21" s="58">
        <f t="shared" si="13"/>
        <v>2025</v>
      </c>
      <c r="AS21" s="58">
        <v>-5000</v>
      </c>
      <c r="AT21" s="58">
        <f t="shared" si="28"/>
        <v>376970.19999999995</v>
      </c>
      <c r="AU21" s="58">
        <f t="shared" si="48"/>
        <v>2511.5848767123284</v>
      </c>
      <c r="AV21" s="77"/>
      <c r="AW21" s="77"/>
      <c r="AX21" s="78"/>
      <c r="AY21" s="58"/>
      <c r="AZ21" s="60"/>
      <c r="BA21" s="57">
        <v>45247</v>
      </c>
      <c r="BB21" s="58"/>
      <c r="BC21" s="58">
        <f t="shared" si="32"/>
        <v>1000000</v>
      </c>
      <c r="BD21" s="58"/>
      <c r="BE21" s="58"/>
      <c r="BF21" s="58">
        <f t="shared" si="42"/>
        <v>500000</v>
      </c>
      <c r="BG21" s="58">
        <f t="shared" si="43"/>
        <v>616.43835616438355</v>
      </c>
      <c r="BH21" s="46"/>
      <c r="BI21" s="58">
        <v>30000</v>
      </c>
      <c r="BJ21" s="58">
        <f t="shared" si="46"/>
        <v>759000</v>
      </c>
      <c r="BK21" s="46">
        <v>7.4999999999999997E-2</v>
      </c>
      <c r="BL21" s="58">
        <f t="shared" si="47"/>
        <v>1797.5342465753424</v>
      </c>
      <c r="BM21" s="13"/>
      <c r="BS21" s="57">
        <v>45176</v>
      </c>
      <c r="BT21" s="64">
        <f t="shared" si="14"/>
        <v>2023</v>
      </c>
      <c r="BU21" s="58">
        <v>-10000</v>
      </c>
      <c r="BV21" s="58">
        <f t="shared" si="35"/>
        <v>84000</v>
      </c>
      <c r="BW21" s="58">
        <f t="shared" si="36"/>
        <v>19.315068493150683</v>
      </c>
      <c r="BX21" s="13"/>
    </row>
    <row r="22" spans="2:76">
      <c r="B22" s="1"/>
      <c r="C22" s="1"/>
      <c r="D22" s="1"/>
      <c r="E22" s="1"/>
      <c r="F22" s="1"/>
      <c r="G22" s="1"/>
      <c r="J22" s="57"/>
      <c r="K22" s="58"/>
      <c r="L22" s="58"/>
      <c r="M22" s="58"/>
      <c r="N22" s="58"/>
      <c r="O22" s="58">
        <v>6449071.5199999996</v>
      </c>
      <c r="P22" s="58">
        <v>4781292.4419856956</v>
      </c>
      <c r="Q22" s="59"/>
      <c r="R22" s="57">
        <f t="shared" si="37"/>
        <v>46040</v>
      </c>
      <c r="S22" s="58">
        <f t="shared" si="18"/>
        <v>2026</v>
      </c>
      <c r="T22" s="58">
        <f t="shared" si="38"/>
        <v>4655325.8501080722</v>
      </c>
      <c r="U22" s="58">
        <f t="shared" si="39"/>
        <v>-91166</v>
      </c>
      <c r="V22" s="58">
        <f t="shared" si="19"/>
        <v>27621.600043974559</v>
      </c>
      <c r="W22" s="58">
        <f t="shared" si="20"/>
        <v>4591781.450152047</v>
      </c>
      <c r="X22" s="58">
        <f t="shared" si="21"/>
        <v>-63544.399956025445</v>
      </c>
      <c r="Z22" s="57">
        <f t="shared" si="22"/>
        <v>46249</v>
      </c>
      <c r="AA22" s="58">
        <f t="shared" si="4"/>
        <v>2026</v>
      </c>
      <c r="AB22" s="58">
        <f t="shared" si="23"/>
        <v>4485664.0361456368</v>
      </c>
      <c r="AC22" s="58">
        <f t="shared" si="24"/>
        <v>-34780.986771779273</v>
      </c>
      <c r="AD22" s="61">
        <f t="shared" si="5"/>
        <v>46280</v>
      </c>
      <c r="AE22" s="58">
        <f t="shared" si="6"/>
        <v>24297.346862455535</v>
      </c>
      <c r="AF22" s="58">
        <f t="shared" si="7"/>
        <v>4475180.3962363135</v>
      </c>
      <c r="AG22" s="58">
        <f t="shared" si="8"/>
        <v>10483.639909323305</v>
      </c>
      <c r="AH22" s="57"/>
      <c r="AI22" s="57"/>
      <c r="AJ22" s="58"/>
      <c r="AK22" s="58"/>
      <c r="AL22" s="58"/>
      <c r="AM22" s="76"/>
      <c r="AN22" s="58"/>
      <c r="AO22" s="58"/>
      <c r="AP22" s="76"/>
      <c r="AQ22" s="57">
        <v>45918</v>
      </c>
      <c r="AR22" s="58">
        <f t="shared" si="13"/>
        <v>2025</v>
      </c>
      <c r="AS22" s="58">
        <f>-930000*0.35*0.7</f>
        <v>-227850</v>
      </c>
      <c r="AT22" s="58">
        <f t="shared" si="28"/>
        <v>149120.19999999995</v>
      </c>
      <c r="AU22" s="58">
        <f t="shared" si="48"/>
        <v>1394.2733424657533</v>
      </c>
      <c r="AV22" s="77"/>
      <c r="AW22" s="77"/>
      <c r="AX22" s="78"/>
      <c r="AY22" s="58"/>
      <c r="AZ22" s="60"/>
      <c r="BA22" s="57">
        <v>45264</v>
      </c>
      <c r="BB22" s="58"/>
      <c r="BC22" s="58">
        <f t="shared" si="32"/>
        <v>1000000</v>
      </c>
      <c r="BD22" s="58"/>
      <c r="BE22" s="58"/>
      <c r="BF22" s="58">
        <f t="shared" si="42"/>
        <v>500000</v>
      </c>
      <c r="BG22" s="58">
        <f t="shared" si="43"/>
        <v>1164.3835616438357</v>
      </c>
      <c r="BH22" s="46"/>
      <c r="BI22" s="58">
        <v>100000</v>
      </c>
      <c r="BJ22" s="58">
        <f t="shared" si="46"/>
        <v>859000</v>
      </c>
      <c r="BK22" s="46">
        <v>7.4999999999999997E-2</v>
      </c>
      <c r="BL22" s="58">
        <f t="shared" si="47"/>
        <v>3535.0684931506848</v>
      </c>
      <c r="BM22" s="13"/>
      <c r="BS22" s="57">
        <v>45190</v>
      </c>
      <c r="BT22" s="64">
        <f t="shared" si="14"/>
        <v>2023</v>
      </c>
      <c r="BU22" s="58">
        <v>10000</v>
      </c>
      <c r="BV22" s="58">
        <f t="shared" si="35"/>
        <v>94000</v>
      </c>
      <c r="BW22" s="58">
        <f t="shared" si="36"/>
        <v>241.64383561643837</v>
      </c>
      <c r="BX22" s="13"/>
    </row>
    <row r="23" spans="2:76">
      <c r="B23" s="1"/>
      <c r="C23" s="1"/>
      <c r="D23" s="1"/>
      <c r="E23" s="1"/>
      <c r="F23" s="1"/>
      <c r="G23" s="1"/>
      <c r="J23" s="57"/>
      <c r="K23" s="58"/>
      <c r="L23" s="58"/>
      <c r="M23" s="58"/>
      <c r="N23" s="58"/>
      <c r="O23" s="58">
        <f t="shared" ref="O23:P23" si="49">O22-O21</f>
        <v>18239.489999999292</v>
      </c>
      <c r="P23" s="58">
        <f t="shared" si="49"/>
        <v>85427.561985695735</v>
      </c>
      <c r="Q23" s="59"/>
      <c r="R23" s="57">
        <f t="shared" si="37"/>
        <v>46071</v>
      </c>
      <c r="S23" s="58">
        <f t="shared" si="18"/>
        <v>2026</v>
      </c>
      <c r="T23" s="58">
        <f t="shared" si="38"/>
        <v>4591781.450152047</v>
      </c>
      <c r="U23" s="58">
        <f t="shared" si="39"/>
        <v>-91166</v>
      </c>
      <c r="V23" s="58">
        <f t="shared" si="19"/>
        <v>27244.569937568813</v>
      </c>
      <c r="W23" s="58">
        <f t="shared" si="20"/>
        <v>4527860.0200896161</v>
      </c>
      <c r="X23" s="58">
        <f t="shared" si="21"/>
        <v>-63921.430062431187</v>
      </c>
      <c r="Z23" s="57">
        <f t="shared" si="22"/>
        <v>46280</v>
      </c>
      <c r="AA23" s="58">
        <f t="shared" si="4"/>
        <v>2026</v>
      </c>
      <c r="AB23" s="58">
        <f t="shared" si="23"/>
        <v>4475180.3962363135</v>
      </c>
      <c r="AC23" s="58">
        <f t="shared" si="24"/>
        <v>-34780.986771779273</v>
      </c>
      <c r="AD23" s="61">
        <f t="shared" si="5"/>
        <v>46310</v>
      </c>
      <c r="AE23" s="58">
        <f t="shared" si="6"/>
        <v>24240.560479613367</v>
      </c>
      <c r="AF23" s="58">
        <f t="shared" si="7"/>
        <v>4464639.9699441474</v>
      </c>
      <c r="AG23" s="58">
        <f t="shared" si="8"/>
        <v>10540.426292166114</v>
      </c>
      <c r="AH23" s="57"/>
      <c r="AI23" s="57"/>
      <c r="AJ23" s="58"/>
      <c r="AK23" s="58"/>
      <c r="AL23" s="58"/>
      <c r="AM23" s="76"/>
      <c r="AN23" s="58"/>
      <c r="AO23" s="58"/>
      <c r="AP23" s="76"/>
      <c r="AQ23" s="57">
        <v>45930</v>
      </c>
      <c r="AR23" s="58">
        <f t="shared" si="13"/>
        <v>2025</v>
      </c>
      <c r="AS23" s="58">
        <v>-5000</v>
      </c>
      <c r="AT23" s="58">
        <f t="shared" si="28"/>
        <v>144120.19999999995</v>
      </c>
      <c r="AU23" s="58">
        <f t="shared" si="48"/>
        <v>367.69364383561629</v>
      </c>
      <c r="AV23" s="77"/>
      <c r="AW23" s="77"/>
      <c r="AX23" s="81"/>
      <c r="AY23" s="58"/>
      <c r="AZ23" s="60"/>
      <c r="BA23" s="57">
        <v>45287</v>
      </c>
      <c r="BB23" s="58"/>
      <c r="BC23" s="58">
        <f t="shared" si="32"/>
        <v>1000000</v>
      </c>
      <c r="BD23" s="58"/>
      <c r="BE23" s="58"/>
      <c r="BF23" s="58">
        <f t="shared" si="42"/>
        <v>500000</v>
      </c>
      <c r="BG23" s="58">
        <f t="shared" si="43"/>
        <v>1575.3424657534247</v>
      </c>
      <c r="BH23" s="46"/>
      <c r="BI23" s="58">
        <v>100000</v>
      </c>
      <c r="BJ23" s="58">
        <f t="shared" si="46"/>
        <v>959000</v>
      </c>
      <c r="BK23" s="46">
        <v>7.4999999999999997E-2</v>
      </c>
      <c r="BL23" s="58">
        <f t="shared" si="47"/>
        <v>5412.876712328768</v>
      </c>
      <c r="BM23" s="13"/>
      <c r="BS23" s="57">
        <v>45191</v>
      </c>
      <c r="BT23" s="64">
        <f t="shared" si="14"/>
        <v>2023</v>
      </c>
      <c r="BU23" s="58">
        <v>10000</v>
      </c>
      <c r="BV23" s="58">
        <f t="shared" si="35"/>
        <v>104000</v>
      </c>
      <c r="BW23" s="58">
        <f t="shared" si="36"/>
        <v>19.315068493150683</v>
      </c>
      <c r="BX23" s="13"/>
    </row>
    <row r="24" spans="2:76">
      <c r="B24" s="1"/>
      <c r="C24" s="1"/>
      <c r="D24" s="1"/>
      <c r="E24" s="1"/>
      <c r="F24" s="1"/>
      <c r="G24" s="1"/>
      <c r="J24" s="57"/>
      <c r="K24" s="58"/>
      <c r="L24" s="58"/>
      <c r="M24" s="58"/>
      <c r="N24" s="58"/>
      <c r="O24" s="58"/>
      <c r="P24" s="58"/>
      <c r="Q24" s="59"/>
      <c r="R24" s="57">
        <f t="shared" si="37"/>
        <v>46099</v>
      </c>
      <c r="S24" s="58">
        <f t="shared" si="18"/>
        <v>2026</v>
      </c>
      <c r="T24" s="58">
        <f t="shared" si="38"/>
        <v>4527860.0200896161</v>
      </c>
      <c r="U24" s="58">
        <f t="shared" si="39"/>
        <v>-91166</v>
      </c>
      <c r="V24" s="58">
        <f t="shared" si="19"/>
        <v>26865.302785865057</v>
      </c>
      <c r="W24" s="58">
        <f t="shared" si="20"/>
        <v>4463559.3228754811</v>
      </c>
      <c r="X24" s="58">
        <f t="shared" si="21"/>
        <v>-64300.69721413494</v>
      </c>
      <c r="Z24" s="57">
        <f t="shared" si="22"/>
        <v>46310</v>
      </c>
      <c r="AA24" s="58">
        <f t="shared" si="4"/>
        <v>2026</v>
      </c>
      <c r="AB24" s="58">
        <f t="shared" si="23"/>
        <v>4464639.9699441474</v>
      </c>
      <c r="AC24" s="58">
        <f t="shared" si="24"/>
        <v>-34780.986771779273</v>
      </c>
      <c r="AD24" s="61">
        <f t="shared" si="5"/>
        <v>46341</v>
      </c>
      <c r="AE24" s="58">
        <f t="shared" si="6"/>
        <v>24183.466503864132</v>
      </c>
      <c r="AF24" s="58">
        <f t="shared" si="7"/>
        <v>4454042.4496762324</v>
      </c>
      <c r="AG24" s="58">
        <f t="shared" si="8"/>
        <v>10597.520267914981</v>
      </c>
      <c r="AH24" s="57"/>
      <c r="AI24" s="57"/>
      <c r="AJ24" s="58"/>
      <c r="AK24" s="58"/>
      <c r="AL24" s="58"/>
      <c r="AM24" s="76"/>
      <c r="AN24" s="58"/>
      <c r="AO24" s="58"/>
      <c r="AP24" s="76"/>
      <c r="AQ24" s="57">
        <f t="shared" ref="AQ24:AQ26" si="50">EDATE(AQ23,1)</f>
        <v>45960</v>
      </c>
      <c r="AR24" s="58">
        <f t="shared" si="13"/>
        <v>2025</v>
      </c>
      <c r="AS24" s="58">
        <v>-5000</v>
      </c>
      <c r="AT24" s="58">
        <f t="shared" si="28"/>
        <v>139120.19999999995</v>
      </c>
      <c r="AU24" s="58">
        <f t="shared" si="48"/>
        <v>888.41219178082144</v>
      </c>
      <c r="AV24" s="77"/>
      <c r="AW24" s="77"/>
      <c r="AX24" s="78"/>
      <c r="AY24" s="58"/>
      <c r="AZ24" s="13"/>
      <c r="BA24" s="57">
        <v>45287</v>
      </c>
      <c r="BB24" s="58"/>
      <c r="BC24" s="58">
        <f t="shared" si="32"/>
        <v>1000000</v>
      </c>
      <c r="BD24" s="58"/>
      <c r="BE24" s="58"/>
      <c r="BF24" s="58">
        <f t="shared" si="42"/>
        <v>500000</v>
      </c>
      <c r="BG24" s="58">
        <f t="shared" si="43"/>
        <v>0</v>
      </c>
      <c r="BH24" s="46"/>
      <c r="BI24" s="58">
        <v>20000</v>
      </c>
      <c r="BJ24" s="58">
        <f t="shared" si="46"/>
        <v>979000</v>
      </c>
      <c r="BK24" s="46">
        <v>7.4999999999999997E-2</v>
      </c>
      <c r="BL24" s="58">
        <f t="shared" si="47"/>
        <v>0</v>
      </c>
      <c r="BM24" s="13"/>
      <c r="BS24" s="57">
        <v>45195</v>
      </c>
      <c r="BT24" s="64">
        <f t="shared" si="14"/>
        <v>2023</v>
      </c>
      <c r="BU24" s="58">
        <v>-20000</v>
      </c>
      <c r="BV24" s="58">
        <f t="shared" si="35"/>
        <v>84000</v>
      </c>
      <c r="BW24" s="58">
        <f t="shared" si="36"/>
        <v>85.479452054794521</v>
      </c>
      <c r="BX24" s="13"/>
    </row>
    <row r="25" spans="2:76">
      <c r="B25" s="1"/>
      <c r="C25" s="1"/>
      <c r="D25" s="1"/>
      <c r="E25" s="1"/>
      <c r="F25" s="1"/>
      <c r="G25" s="1"/>
      <c r="J25" s="57"/>
      <c r="K25" s="58"/>
      <c r="L25" s="58"/>
      <c r="M25" s="58"/>
      <c r="N25" s="58"/>
      <c r="O25" s="58"/>
      <c r="P25" s="82"/>
      <c r="Q25" s="59"/>
      <c r="R25" s="57">
        <f t="shared" si="37"/>
        <v>46130</v>
      </c>
      <c r="S25" s="58">
        <f t="shared" si="18"/>
        <v>2026</v>
      </c>
      <c r="T25" s="58">
        <f t="shared" si="38"/>
        <v>4463559.3228754811</v>
      </c>
      <c r="U25" s="58">
        <f t="shared" si="39"/>
        <v>-91166</v>
      </c>
      <c r="V25" s="58">
        <f t="shared" si="19"/>
        <v>26483.785315727855</v>
      </c>
      <c r="W25" s="58">
        <f t="shared" si="20"/>
        <v>4398877.1081912089</v>
      </c>
      <c r="X25" s="58">
        <f t="shared" si="21"/>
        <v>-64682.214684272141</v>
      </c>
      <c r="Z25" s="57">
        <f t="shared" si="22"/>
        <v>46341</v>
      </c>
      <c r="AA25" s="58">
        <f t="shared" si="4"/>
        <v>2026</v>
      </c>
      <c r="AB25" s="58">
        <f t="shared" si="23"/>
        <v>4454042.4496762324</v>
      </c>
      <c r="AC25" s="58">
        <f t="shared" si="24"/>
        <v>-34780.986771779273</v>
      </c>
      <c r="AD25" s="61">
        <f t="shared" si="5"/>
        <v>46371</v>
      </c>
      <c r="AE25" s="58">
        <f t="shared" si="6"/>
        <v>24126.063269079594</v>
      </c>
      <c r="AF25" s="58">
        <f t="shared" si="7"/>
        <v>4443387.5261735329</v>
      </c>
      <c r="AG25" s="58">
        <f t="shared" si="8"/>
        <v>10654.923502699472</v>
      </c>
      <c r="AH25" s="57"/>
      <c r="AI25" s="57"/>
      <c r="AJ25" s="58"/>
      <c r="AK25" s="58"/>
      <c r="AL25" s="58"/>
      <c r="AM25" s="58"/>
      <c r="AN25" s="58"/>
      <c r="AO25" s="58"/>
      <c r="AP25" s="76"/>
      <c r="AQ25" s="57">
        <f t="shared" si="50"/>
        <v>45991</v>
      </c>
      <c r="AR25" s="58">
        <f t="shared" si="13"/>
        <v>2025</v>
      </c>
      <c r="AS25" s="58">
        <v>-5000</v>
      </c>
      <c r="AT25" s="58">
        <f t="shared" si="28"/>
        <v>134120.19999999995</v>
      </c>
      <c r="AU25" s="58">
        <f t="shared" si="48"/>
        <v>886.17661643835572</v>
      </c>
      <c r="AV25" s="77"/>
      <c r="AW25" s="77"/>
      <c r="AX25" s="78"/>
      <c r="AY25" s="60"/>
      <c r="AZ25" s="13"/>
      <c r="BA25" s="57">
        <v>45717</v>
      </c>
      <c r="BB25" s="58"/>
      <c r="BC25" s="58">
        <f t="shared" si="32"/>
        <v>1000000</v>
      </c>
      <c r="BD25" s="58"/>
      <c r="BE25" s="58"/>
      <c r="BF25" s="58">
        <f t="shared" si="42"/>
        <v>500000</v>
      </c>
      <c r="BG25" s="58">
        <f t="shared" si="43"/>
        <v>29452.054794520547</v>
      </c>
      <c r="BH25" s="46"/>
      <c r="BI25" s="58">
        <v>0</v>
      </c>
      <c r="BJ25" s="58">
        <f t="shared" si="46"/>
        <v>979000</v>
      </c>
      <c r="BK25" s="46">
        <v>7.4999999999999997E-2</v>
      </c>
      <c r="BL25" s="58">
        <f t="shared" si="47"/>
        <v>115334.24657534248</v>
      </c>
      <c r="BM25" s="13"/>
      <c r="BS25" s="57">
        <v>45197</v>
      </c>
      <c r="BT25" s="64">
        <f t="shared" si="14"/>
        <v>2023</v>
      </c>
      <c r="BU25" s="58">
        <v>80000</v>
      </c>
      <c r="BV25" s="58">
        <f t="shared" si="35"/>
        <v>164000</v>
      </c>
      <c r="BW25" s="58">
        <f t="shared" si="36"/>
        <v>34.520547945205479</v>
      </c>
      <c r="BX25" s="13"/>
    </row>
    <row r="26" spans="2:76">
      <c r="B26" s="1"/>
      <c r="C26" s="1"/>
      <c r="D26" s="1"/>
      <c r="E26" s="1"/>
      <c r="F26" s="1"/>
      <c r="G26" s="1"/>
      <c r="J26" s="57"/>
      <c r="K26" s="58"/>
      <c r="L26" s="58"/>
      <c r="M26" s="58"/>
      <c r="N26" s="58"/>
      <c r="O26" s="58"/>
      <c r="P26" s="82"/>
      <c r="Q26" s="59"/>
      <c r="R26" s="57">
        <f t="shared" si="37"/>
        <v>46160</v>
      </c>
      <c r="S26" s="58">
        <f t="shared" si="18"/>
        <v>2026</v>
      </c>
      <c r="T26" s="58">
        <f t="shared" si="38"/>
        <v>4398877.1081912089</v>
      </c>
      <c r="U26" s="58">
        <f t="shared" si="39"/>
        <v>-91166</v>
      </c>
      <c r="V26" s="58">
        <f t="shared" si="19"/>
        <v>26100.004175267837</v>
      </c>
      <c r="W26" s="58">
        <f t="shared" si="20"/>
        <v>4333811.112366477</v>
      </c>
      <c r="X26" s="58">
        <f t="shared" si="21"/>
        <v>-65065.995824732163</v>
      </c>
      <c r="Z26" s="57">
        <f t="shared" si="22"/>
        <v>46371</v>
      </c>
      <c r="AA26" s="58">
        <f t="shared" si="4"/>
        <v>2027</v>
      </c>
      <c r="AB26" s="58">
        <f t="shared" si="23"/>
        <v>4443387.5261735329</v>
      </c>
      <c r="AC26" s="58">
        <f t="shared" si="24"/>
        <v>-34780.986771779273</v>
      </c>
      <c r="AD26" s="61">
        <f t="shared" si="5"/>
        <v>46402</v>
      </c>
      <c r="AE26" s="58">
        <f t="shared" si="6"/>
        <v>24068.349100106636</v>
      </c>
      <c r="AF26" s="58">
        <f t="shared" si="7"/>
        <v>4432674.8885018602</v>
      </c>
      <c r="AG26" s="58">
        <f t="shared" si="8"/>
        <v>10712.637671672739</v>
      </c>
      <c r="AH26" s="57"/>
      <c r="AI26" s="57"/>
      <c r="AJ26" s="58"/>
      <c r="AK26" s="58"/>
      <c r="AL26" s="58"/>
      <c r="AM26" s="58"/>
      <c r="AN26" s="58"/>
      <c r="AO26" s="58"/>
      <c r="AP26" s="76"/>
      <c r="AQ26" s="57">
        <f t="shared" si="50"/>
        <v>46021</v>
      </c>
      <c r="AR26" s="58">
        <f t="shared" si="13"/>
        <v>2025</v>
      </c>
      <c r="AS26" s="58">
        <v>-5000</v>
      </c>
      <c r="AT26" s="58">
        <f t="shared" si="28"/>
        <v>129120.19999999995</v>
      </c>
      <c r="AU26" s="58">
        <f t="shared" si="48"/>
        <v>826.76835616438336</v>
      </c>
      <c r="AV26" s="77"/>
      <c r="AW26" s="77"/>
      <c r="AX26" s="78"/>
      <c r="AY26" s="60"/>
      <c r="AZ26" s="13"/>
      <c r="BA26" s="57">
        <f t="shared" ref="BA26:BA27" si="51">EDATE(BA25,3)</f>
        <v>45809</v>
      </c>
      <c r="BB26" s="58"/>
      <c r="BC26" s="58">
        <f t="shared" si="32"/>
        <v>1000000</v>
      </c>
      <c r="BD26" s="58"/>
      <c r="BE26" s="58"/>
      <c r="BF26" s="58">
        <f t="shared" si="42"/>
        <v>500000</v>
      </c>
      <c r="BG26" s="58">
        <f t="shared" si="43"/>
        <v>6301.3698630136987</v>
      </c>
      <c r="BH26" s="46"/>
      <c r="BI26" s="58">
        <v>0</v>
      </c>
      <c r="BJ26" s="58">
        <f t="shared" si="46"/>
        <v>979000</v>
      </c>
      <c r="BK26" s="46">
        <v>7.4999999999999997E-2</v>
      </c>
      <c r="BL26" s="58">
        <f t="shared" si="47"/>
        <v>24676.164383561645</v>
      </c>
      <c r="BM26" s="13"/>
      <c r="BS26" s="57">
        <v>45203</v>
      </c>
      <c r="BT26" s="64">
        <f t="shared" si="14"/>
        <v>2023</v>
      </c>
      <c r="BU26" s="58">
        <v>10000</v>
      </c>
      <c r="BV26" s="58">
        <f t="shared" si="35"/>
        <v>174000</v>
      </c>
      <c r="BW26" s="58">
        <f t="shared" si="36"/>
        <v>202.1917808219178</v>
      </c>
      <c r="BX26" s="13"/>
    </row>
    <row r="27" spans="2:76">
      <c r="B27" s="1"/>
      <c r="C27" s="1"/>
      <c r="D27" s="1"/>
      <c r="E27" s="1"/>
      <c r="F27" s="1"/>
      <c r="G27" s="1"/>
      <c r="J27" s="57"/>
      <c r="K27" s="58"/>
      <c r="L27" s="58"/>
      <c r="M27" s="58"/>
      <c r="N27" s="58"/>
      <c r="O27" s="58"/>
      <c r="P27" s="58"/>
      <c r="Q27" s="59"/>
      <c r="R27" s="57">
        <f t="shared" si="37"/>
        <v>46191</v>
      </c>
      <c r="S27" s="58">
        <f t="shared" si="18"/>
        <v>2026</v>
      </c>
      <c r="T27" s="58">
        <f t="shared" si="38"/>
        <v>4333811.112366477</v>
      </c>
      <c r="U27" s="58">
        <f t="shared" si="39"/>
        <v>-91166</v>
      </c>
      <c r="V27" s="58">
        <f t="shared" si="19"/>
        <v>25713.945933374431</v>
      </c>
      <c r="W27" s="58">
        <f t="shared" si="20"/>
        <v>4268359.0582998516</v>
      </c>
      <c r="X27" s="58">
        <f t="shared" si="21"/>
        <v>-65452.054066625569</v>
      </c>
      <c r="Z27" s="57">
        <f t="shared" si="22"/>
        <v>46402</v>
      </c>
      <c r="AA27" s="58">
        <f t="shared" si="4"/>
        <v>2027</v>
      </c>
      <c r="AB27" s="58">
        <f t="shared" si="23"/>
        <v>4432674.8885018602</v>
      </c>
      <c r="AC27" s="58">
        <f t="shared" si="24"/>
        <v>-34780.986771779273</v>
      </c>
      <c r="AD27" s="61">
        <f t="shared" si="5"/>
        <v>46433</v>
      </c>
      <c r="AE27" s="58">
        <f t="shared" si="6"/>
        <v>24010.32231271841</v>
      </c>
      <c r="AF27" s="58">
        <f t="shared" si="7"/>
        <v>4421904.2240427993</v>
      </c>
      <c r="AG27" s="58">
        <f t="shared" si="8"/>
        <v>10770.664459060878</v>
      </c>
      <c r="AH27" s="57"/>
      <c r="AI27" s="57"/>
      <c r="AJ27" s="58"/>
      <c r="AK27" s="58"/>
      <c r="AL27" s="58"/>
      <c r="AM27" s="58"/>
      <c r="AN27" s="58"/>
      <c r="AO27" s="57"/>
      <c r="AP27" s="57"/>
      <c r="AQ27" s="57">
        <v>46021</v>
      </c>
      <c r="AR27" s="58">
        <f>AR26</f>
        <v>2025</v>
      </c>
      <c r="AS27" s="58">
        <v>0</v>
      </c>
      <c r="AT27" s="58">
        <f t="shared" si="28"/>
        <v>129120.19999999995</v>
      </c>
      <c r="AU27" s="58">
        <f>-SUM(AU$5:AU26)</f>
        <v>-10137.177698630127</v>
      </c>
      <c r="AV27" s="77"/>
      <c r="AW27" s="77"/>
      <c r="AX27" s="78"/>
      <c r="AY27" s="60"/>
      <c r="AZ27" s="13"/>
      <c r="BA27" s="57">
        <f t="shared" si="51"/>
        <v>45901</v>
      </c>
      <c r="BB27" s="58"/>
      <c r="BC27" s="58">
        <f t="shared" si="32"/>
        <v>1000000</v>
      </c>
      <c r="BD27" s="58"/>
      <c r="BE27" s="58"/>
      <c r="BF27" s="58">
        <f t="shared" si="42"/>
        <v>500000</v>
      </c>
      <c r="BG27" s="58">
        <f t="shared" si="43"/>
        <v>6301.3698630136987</v>
      </c>
      <c r="BH27" s="46"/>
      <c r="BI27" s="58">
        <v>0</v>
      </c>
      <c r="BJ27" s="58">
        <f t="shared" si="46"/>
        <v>979000</v>
      </c>
      <c r="BK27" s="46">
        <v>7.4999999999999997E-2</v>
      </c>
      <c r="BL27" s="58">
        <f t="shared" si="47"/>
        <v>24676.164383561645</v>
      </c>
      <c r="BM27" s="13"/>
      <c r="BS27" s="57">
        <v>45205</v>
      </c>
      <c r="BT27" s="64">
        <f t="shared" si="14"/>
        <v>2023</v>
      </c>
      <c r="BU27" s="58">
        <v>-10000</v>
      </c>
      <c r="BV27" s="58">
        <f t="shared" si="35"/>
        <v>164000</v>
      </c>
      <c r="BW27" s="58">
        <f t="shared" si="36"/>
        <v>71.506849315068493</v>
      </c>
      <c r="BX27" s="13"/>
    </row>
    <row r="28" spans="2:76">
      <c r="B28" s="1"/>
      <c r="C28" s="1"/>
      <c r="D28" s="1"/>
      <c r="E28" s="1"/>
      <c r="F28" s="1"/>
      <c r="G28" s="1"/>
      <c r="J28" s="57"/>
      <c r="K28" s="58"/>
      <c r="L28" s="58"/>
      <c r="M28" s="58"/>
      <c r="N28" s="58"/>
      <c r="O28" s="58"/>
      <c r="P28" s="58"/>
      <c r="Q28" s="59"/>
      <c r="R28" s="57">
        <f t="shared" si="37"/>
        <v>46221</v>
      </c>
      <c r="S28" s="58">
        <f t="shared" si="18"/>
        <v>2026</v>
      </c>
      <c r="T28" s="58">
        <f t="shared" si="38"/>
        <v>4268359.0582998516</v>
      </c>
      <c r="U28" s="58">
        <f t="shared" si="39"/>
        <v>-91166</v>
      </c>
      <c r="V28" s="58">
        <f t="shared" si="19"/>
        <v>25325.597079245785</v>
      </c>
      <c r="W28" s="58">
        <f t="shared" si="20"/>
        <v>4202518.655379097</v>
      </c>
      <c r="X28" s="58">
        <f t="shared" si="21"/>
        <v>-65840.402920754219</v>
      </c>
      <c r="Z28" s="57">
        <f t="shared" si="22"/>
        <v>46433</v>
      </c>
      <c r="AA28" s="58">
        <f t="shared" si="4"/>
        <v>2027</v>
      </c>
      <c r="AB28" s="58">
        <f t="shared" si="23"/>
        <v>4421904.2240427993</v>
      </c>
      <c r="AC28" s="58">
        <f t="shared" si="24"/>
        <v>-34780.986771779273</v>
      </c>
      <c r="AD28" s="61">
        <f t="shared" si="5"/>
        <v>46461</v>
      </c>
      <c r="AE28" s="58">
        <f t="shared" si="6"/>
        <v>23951.981213565163</v>
      </c>
      <c r="AF28" s="58">
        <f t="shared" si="7"/>
        <v>4411075.2184845852</v>
      </c>
      <c r="AG28" s="58">
        <f t="shared" si="8"/>
        <v>10829.00555821415</v>
      </c>
      <c r="AH28" s="57"/>
      <c r="AI28" s="57"/>
      <c r="AJ28" s="58"/>
      <c r="AK28" s="58"/>
      <c r="AL28" s="58"/>
      <c r="AM28" s="58"/>
      <c r="AN28" s="58"/>
      <c r="AO28" s="57"/>
      <c r="AP28" s="57"/>
      <c r="AQ28" s="57">
        <f t="shared" ref="AQ28:AQ30" si="52">EDATE(AQ27,1)</f>
        <v>46052</v>
      </c>
      <c r="AR28" s="58">
        <f t="shared" ref="AR28:AR32" si="53">YEAR(AQ29)</f>
        <v>2026</v>
      </c>
      <c r="AS28" s="58">
        <v>-5000</v>
      </c>
      <c r="AT28" s="58">
        <f t="shared" si="28"/>
        <v>124120.19999999995</v>
      </c>
      <c r="AU28" s="58">
        <f t="shared" ref="AU28:AU31" si="54">AT27*(AQ28-AQ27)/365*$AU$2</f>
        <v>822.47798630136947</v>
      </c>
      <c r="AV28" s="77"/>
      <c r="AW28" s="77"/>
      <c r="AX28" s="78"/>
      <c r="AY28" s="60"/>
      <c r="AZ28" s="13"/>
      <c r="BA28" s="57">
        <v>45928</v>
      </c>
      <c r="BB28" s="58"/>
      <c r="BC28" s="58">
        <f t="shared" si="32"/>
        <v>1000000</v>
      </c>
      <c r="BD28" s="58"/>
      <c r="BE28" s="58"/>
      <c r="BF28" s="58">
        <f t="shared" si="42"/>
        <v>500000</v>
      </c>
      <c r="BG28" s="58">
        <f t="shared" si="43"/>
        <v>1849.3150684931509</v>
      </c>
      <c r="BH28" s="46"/>
      <c r="BI28" s="58">
        <v>-124000</v>
      </c>
      <c r="BJ28" s="58">
        <f t="shared" si="46"/>
        <v>855000</v>
      </c>
      <c r="BK28" s="46">
        <v>7.4999999999999997E-2</v>
      </c>
      <c r="BL28" s="58">
        <f t="shared" si="47"/>
        <v>7241.9178082191784</v>
      </c>
      <c r="BS28" s="57">
        <v>45210</v>
      </c>
      <c r="BT28" s="64">
        <f t="shared" si="14"/>
        <v>2023</v>
      </c>
      <c r="BU28" s="58">
        <v>-75000</v>
      </c>
      <c r="BV28" s="58">
        <f t="shared" si="35"/>
        <v>89000</v>
      </c>
      <c r="BW28" s="58">
        <f t="shared" si="36"/>
        <v>168.49315068493149</v>
      </c>
      <c r="BX28" s="13"/>
    </row>
    <row r="29" spans="2:76">
      <c r="B29" s="1"/>
      <c r="C29" s="1"/>
      <c r="D29" s="1"/>
      <c r="E29" s="1"/>
      <c r="F29" s="1"/>
      <c r="G29" s="1"/>
      <c r="P29" s="83"/>
      <c r="Q29" s="84"/>
      <c r="R29" s="57">
        <f t="shared" si="37"/>
        <v>46252</v>
      </c>
      <c r="S29" s="58">
        <f t="shared" si="18"/>
        <v>2026</v>
      </c>
      <c r="T29" s="58">
        <f t="shared" si="38"/>
        <v>4202518.655379097</v>
      </c>
      <c r="U29" s="58">
        <f t="shared" si="39"/>
        <v>-91166</v>
      </c>
      <c r="V29" s="58">
        <f t="shared" si="19"/>
        <v>24934.944021915973</v>
      </c>
      <c r="W29" s="58">
        <f t="shared" si="20"/>
        <v>4136287.599401013</v>
      </c>
      <c r="X29" s="58">
        <f t="shared" si="21"/>
        <v>-66231.055978084027</v>
      </c>
      <c r="Z29" s="57">
        <f t="shared" si="22"/>
        <v>46461</v>
      </c>
      <c r="AA29" s="58">
        <f t="shared" si="4"/>
        <v>2027</v>
      </c>
      <c r="AB29" s="58">
        <f t="shared" si="23"/>
        <v>4411075.2184845852</v>
      </c>
      <c r="AC29" s="58">
        <f t="shared" si="24"/>
        <v>-34780.986771779273</v>
      </c>
      <c r="AD29" s="61">
        <f t="shared" si="5"/>
        <v>46492</v>
      </c>
      <c r="AE29" s="58">
        <f t="shared" si="6"/>
        <v>23893.324100124839</v>
      </c>
      <c r="AF29" s="58">
        <f t="shared" si="7"/>
        <v>4400187.5558129307</v>
      </c>
      <c r="AG29" s="58">
        <f t="shared" si="8"/>
        <v>10887.662671654485</v>
      </c>
      <c r="AH29" s="57"/>
      <c r="AI29" s="57"/>
      <c r="AJ29" s="58"/>
      <c r="AK29" s="58"/>
      <c r="AL29" s="58"/>
      <c r="AM29" s="58"/>
      <c r="AN29" s="58"/>
      <c r="AO29" s="57"/>
      <c r="AP29" s="57"/>
      <c r="AQ29" s="57">
        <f t="shared" si="52"/>
        <v>46081</v>
      </c>
      <c r="AR29" s="58">
        <f t="shared" si="53"/>
        <v>2026</v>
      </c>
      <c r="AS29" s="58">
        <v>-5000</v>
      </c>
      <c r="AT29" s="58">
        <f t="shared" si="28"/>
        <v>119120.19999999995</v>
      </c>
      <c r="AU29" s="58">
        <f t="shared" si="54"/>
        <v>739.62036986301348</v>
      </c>
      <c r="AV29" s="85"/>
      <c r="AW29" s="85"/>
      <c r="AX29" s="78"/>
      <c r="AY29" s="58"/>
      <c r="AZ29" s="13"/>
      <c r="BA29" s="57">
        <v>45959</v>
      </c>
      <c r="BB29" s="58"/>
      <c r="BC29" s="58">
        <f t="shared" si="32"/>
        <v>1000000</v>
      </c>
      <c r="BD29" s="58"/>
      <c r="BE29" s="58"/>
      <c r="BF29" s="58">
        <f t="shared" si="42"/>
        <v>500000</v>
      </c>
      <c r="BG29" s="58">
        <f t="shared" si="43"/>
        <v>2123.2876712328771</v>
      </c>
      <c r="BH29" s="46"/>
      <c r="BI29" s="58">
        <v>-150000</v>
      </c>
      <c r="BJ29" s="58">
        <f t="shared" si="46"/>
        <v>705000</v>
      </c>
      <c r="BK29" s="46">
        <v>7.4999999999999997E-2</v>
      </c>
      <c r="BL29" s="58">
        <f t="shared" si="47"/>
        <v>7261.6438356164381</v>
      </c>
      <c r="BM29" s="13"/>
      <c r="BS29" s="57">
        <v>45217</v>
      </c>
      <c r="BT29" s="64">
        <f t="shared" si="14"/>
        <v>2023</v>
      </c>
      <c r="BU29" s="58">
        <v>10000</v>
      </c>
      <c r="BV29" s="58">
        <f t="shared" si="35"/>
        <v>99000</v>
      </c>
      <c r="BW29" s="58">
        <f t="shared" si="36"/>
        <v>128.01369863013699</v>
      </c>
      <c r="BX29" s="13"/>
    </row>
    <row r="30" spans="2:76">
      <c r="B30" s="1"/>
      <c r="P30" s="58"/>
      <c r="Q30" s="84"/>
      <c r="R30" s="57">
        <f t="shared" si="37"/>
        <v>46283</v>
      </c>
      <c r="S30" s="58">
        <f t="shared" si="18"/>
        <v>2026</v>
      </c>
      <c r="T30" s="58">
        <f t="shared" si="38"/>
        <v>4136287.599401013</v>
      </c>
      <c r="U30" s="58">
        <f t="shared" si="39"/>
        <v>-91166</v>
      </c>
      <c r="V30" s="58">
        <f t="shared" si="19"/>
        <v>24541.973089779345</v>
      </c>
      <c r="W30" s="58">
        <f t="shared" si="20"/>
        <v>4069663.5724907923</v>
      </c>
      <c r="X30" s="58">
        <f t="shared" si="21"/>
        <v>-66624.026910220651</v>
      </c>
      <c r="Z30" s="57">
        <f t="shared" si="22"/>
        <v>46492</v>
      </c>
      <c r="AA30" s="58">
        <f t="shared" si="4"/>
        <v>2027</v>
      </c>
      <c r="AB30" s="58">
        <f t="shared" si="23"/>
        <v>4400187.5558129307</v>
      </c>
      <c r="AC30" s="58">
        <f t="shared" si="24"/>
        <v>-34780.986771779273</v>
      </c>
      <c r="AD30" s="61">
        <f t="shared" si="5"/>
        <v>46522</v>
      </c>
      <c r="AE30" s="58">
        <f t="shared" si="6"/>
        <v>23834.349260653376</v>
      </c>
      <c r="AF30" s="58">
        <f t="shared" si="7"/>
        <v>4389240.9183018049</v>
      </c>
      <c r="AG30" s="58">
        <f t="shared" si="8"/>
        <v>10946.637511125766</v>
      </c>
      <c r="AH30" s="57"/>
      <c r="AI30" s="57"/>
      <c r="AJ30" s="58"/>
      <c r="AK30" s="58"/>
      <c r="AL30" s="58"/>
      <c r="AM30" s="58"/>
      <c r="AN30" s="58"/>
      <c r="AO30" s="57"/>
      <c r="AP30" s="57"/>
      <c r="AQ30" s="57">
        <f t="shared" si="52"/>
        <v>46109</v>
      </c>
      <c r="AR30" s="58">
        <f t="shared" si="53"/>
        <v>2026</v>
      </c>
      <c r="AS30" s="58">
        <v>-5000</v>
      </c>
      <c r="AT30" s="58">
        <f t="shared" si="28"/>
        <v>114120.19999999995</v>
      </c>
      <c r="AU30" s="58">
        <f t="shared" si="54"/>
        <v>685.34909589041069</v>
      </c>
      <c r="AV30" s="77"/>
      <c r="AW30" s="77"/>
      <c r="AX30" s="78"/>
      <c r="AY30" s="58"/>
      <c r="AZ30" s="13"/>
      <c r="BA30" s="57">
        <v>46022</v>
      </c>
      <c r="BB30" s="58"/>
      <c r="BC30" s="58">
        <f t="shared" si="32"/>
        <v>1000000</v>
      </c>
      <c r="BD30" s="58"/>
      <c r="BE30" s="58"/>
      <c r="BF30" s="58">
        <f t="shared" si="42"/>
        <v>500000</v>
      </c>
      <c r="BG30" s="58">
        <f t="shared" si="43"/>
        <v>4315.0684931506848</v>
      </c>
      <c r="BH30" s="46"/>
      <c r="BI30" s="58">
        <v>-20000</v>
      </c>
      <c r="BJ30" s="58">
        <f t="shared" si="46"/>
        <v>685000</v>
      </c>
      <c r="BK30" s="46">
        <v>7.4999999999999997E-2</v>
      </c>
      <c r="BL30" s="58">
        <f>-SUM(BL20:BL29)</f>
        <v>-192459.45205479453</v>
      </c>
      <c r="BM30" s="44" t="s">
        <v>117</v>
      </c>
      <c r="BS30" s="57">
        <v>45217</v>
      </c>
      <c r="BT30" s="64">
        <f t="shared" si="14"/>
        <v>2023</v>
      </c>
      <c r="BU30" s="58">
        <v>10000</v>
      </c>
      <c r="BV30" s="58">
        <f t="shared" si="35"/>
        <v>109000</v>
      </c>
      <c r="BW30" s="58">
        <f t="shared" si="36"/>
        <v>0</v>
      </c>
      <c r="BX30" s="13"/>
    </row>
    <row r="31" spans="2:76">
      <c r="B31" s="1"/>
      <c r="P31" s="84"/>
      <c r="Q31" s="84"/>
      <c r="R31" s="57">
        <f t="shared" si="37"/>
        <v>46313</v>
      </c>
      <c r="S31" s="58">
        <f t="shared" si="18"/>
        <v>2026</v>
      </c>
      <c r="T31" s="58">
        <f t="shared" si="38"/>
        <v>4069663.5724907923</v>
      </c>
      <c r="U31" s="58">
        <f t="shared" si="39"/>
        <v>-91166</v>
      </c>
      <c r="V31" s="58">
        <f t="shared" si="19"/>
        <v>24146.670530112035</v>
      </c>
      <c r="W31" s="58">
        <f t="shared" si="20"/>
        <v>4002644.2430209043</v>
      </c>
      <c r="X31" s="58">
        <f t="shared" si="21"/>
        <v>-67019.329469887962</v>
      </c>
      <c r="Z31" s="57">
        <f t="shared" si="22"/>
        <v>46522</v>
      </c>
      <c r="AA31" s="58">
        <f t="shared" si="4"/>
        <v>2027</v>
      </c>
      <c r="AB31" s="58">
        <f t="shared" si="23"/>
        <v>4389240.9183018049</v>
      </c>
      <c r="AC31" s="58">
        <f t="shared" si="24"/>
        <v>-34780.986771779273</v>
      </c>
      <c r="AD31" s="61">
        <f t="shared" si="5"/>
        <v>46553</v>
      </c>
      <c r="AE31" s="58">
        <f t="shared" si="6"/>
        <v>23775.054974134779</v>
      </c>
      <c r="AF31" s="58">
        <f t="shared" si="7"/>
        <v>4378234.9865041608</v>
      </c>
      <c r="AG31" s="58">
        <f t="shared" si="8"/>
        <v>11005.931797644123</v>
      </c>
      <c r="AH31" s="57"/>
      <c r="AI31" s="57"/>
      <c r="AJ31" s="58"/>
      <c r="AK31" s="58"/>
      <c r="AL31" s="58"/>
      <c r="AM31" s="58"/>
      <c r="AN31" s="58"/>
      <c r="AO31" s="57"/>
      <c r="AP31" s="57"/>
      <c r="AQ31" s="57">
        <v>46127</v>
      </c>
      <c r="AR31" s="58">
        <f t="shared" si="53"/>
        <v>2026</v>
      </c>
      <c r="AS31" s="58">
        <f t="shared" ref="AS31:AS32" si="55">-AT30</f>
        <v>-114120.19999999995</v>
      </c>
      <c r="AT31" s="58">
        <f t="shared" si="28"/>
        <v>0</v>
      </c>
      <c r="AU31" s="58">
        <f t="shared" si="54"/>
        <v>422.08841095890392</v>
      </c>
      <c r="AV31" s="77"/>
      <c r="AW31" s="77"/>
      <c r="AX31" s="78"/>
      <c r="AY31" s="58"/>
      <c r="AZ31" s="13"/>
      <c r="BA31" s="57">
        <f t="shared" ref="BA31:BA33" si="56">EDATE(BA30,3)</f>
        <v>46112</v>
      </c>
      <c r="BB31" s="58"/>
      <c r="BC31" s="58">
        <f t="shared" si="32"/>
        <v>1000000</v>
      </c>
      <c r="BD31" s="58"/>
      <c r="BE31" s="58"/>
      <c r="BF31" s="58">
        <f t="shared" si="42"/>
        <v>500000</v>
      </c>
      <c r="BG31" s="58">
        <f t="shared" si="43"/>
        <v>6164.3835616438364</v>
      </c>
      <c r="BH31" s="46"/>
      <c r="BI31" s="58">
        <v>-250000</v>
      </c>
      <c r="BJ31" s="58">
        <f t="shared" si="46"/>
        <v>435000</v>
      </c>
      <c r="BK31" s="46">
        <v>7.4999999999999997E-2</v>
      </c>
      <c r="BL31" s="58">
        <f t="shared" ref="BL31:BL33" si="57">BJ30*(BA31-BA30)/365*(0.025+BK30)</f>
        <v>16890.410958904111</v>
      </c>
      <c r="BM31" s="13"/>
      <c r="BS31" s="57">
        <v>45219</v>
      </c>
      <c r="BT31" s="64">
        <f t="shared" si="14"/>
        <v>2023</v>
      </c>
      <c r="BU31" s="58">
        <v>55000</v>
      </c>
      <c r="BV31" s="58">
        <f t="shared" si="35"/>
        <v>164000</v>
      </c>
      <c r="BW31" s="58">
        <f t="shared" si="36"/>
        <v>44.794520547945204</v>
      </c>
      <c r="BX31" s="13"/>
    </row>
    <row r="32" spans="2:76">
      <c r="B32" s="1"/>
      <c r="P32" s="84"/>
      <c r="Q32" s="84"/>
      <c r="R32" s="57">
        <f t="shared" si="37"/>
        <v>46344</v>
      </c>
      <c r="S32" s="58">
        <f t="shared" si="18"/>
        <v>2026</v>
      </c>
      <c r="T32" s="58">
        <f t="shared" si="38"/>
        <v>4002644.2430209043</v>
      </c>
      <c r="U32" s="58">
        <f t="shared" si="39"/>
        <v>-91166</v>
      </c>
      <c r="V32" s="58">
        <f t="shared" si="19"/>
        <v>23749.0225085907</v>
      </c>
      <c r="W32" s="58">
        <f t="shared" si="20"/>
        <v>3935227.2655294947</v>
      </c>
      <c r="X32" s="58">
        <f t="shared" si="21"/>
        <v>-67416.9774914093</v>
      </c>
      <c r="Z32" s="57">
        <f t="shared" si="22"/>
        <v>46553</v>
      </c>
      <c r="AA32" s="58">
        <f t="shared" si="4"/>
        <v>2027</v>
      </c>
      <c r="AB32" s="58">
        <f t="shared" si="23"/>
        <v>4378234.9865041608</v>
      </c>
      <c r="AC32" s="58">
        <f t="shared" si="24"/>
        <v>-34780.986771779273</v>
      </c>
      <c r="AD32" s="61">
        <f t="shared" si="5"/>
        <v>46583</v>
      </c>
      <c r="AE32" s="58">
        <f t="shared" si="6"/>
        <v>23715.439510230874</v>
      </c>
      <c r="AF32" s="58">
        <f t="shared" si="7"/>
        <v>4367169.4392426126</v>
      </c>
      <c r="AG32" s="58">
        <f t="shared" si="8"/>
        <v>11065.547261548229</v>
      </c>
      <c r="AH32" s="57"/>
      <c r="AI32" s="57"/>
      <c r="AJ32" s="58"/>
      <c r="AK32" s="58"/>
      <c r="AL32" s="58"/>
      <c r="AM32" s="58"/>
      <c r="AN32" s="58"/>
      <c r="AO32" s="57"/>
      <c r="AP32" s="57"/>
      <c r="AQ32" s="57">
        <v>46127</v>
      </c>
      <c r="AR32" s="58">
        <f t="shared" si="53"/>
        <v>1900</v>
      </c>
      <c r="AS32" s="58">
        <f t="shared" si="55"/>
        <v>0</v>
      </c>
      <c r="AT32" s="58">
        <f t="shared" si="28"/>
        <v>0</v>
      </c>
      <c r="AU32" s="58">
        <f>-SUM(AU$5:AU31)</f>
        <v>-2669.5358630136975</v>
      </c>
      <c r="AV32" s="85"/>
      <c r="AW32" s="85"/>
      <c r="AX32" s="78"/>
      <c r="AY32" s="58"/>
      <c r="AZ32" s="13"/>
      <c r="BA32" s="57">
        <f t="shared" si="56"/>
        <v>46203</v>
      </c>
      <c r="BB32" s="58"/>
      <c r="BC32" s="58">
        <f t="shared" si="32"/>
        <v>1000000</v>
      </c>
      <c r="BD32" s="58"/>
      <c r="BE32" s="58"/>
      <c r="BF32" s="58">
        <f t="shared" si="42"/>
        <v>500000</v>
      </c>
      <c r="BG32" s="58">
        <f t="shared" si="43"/>
        <v>6232.876712328768</v>
      </c>
      <c r="BH32" s="46"/>
      <c r="BI32" s="58">
        <v>-250000</v>
      </c>
      <c r="BJ32" s="58">
        <f t="shared" si="46"/>
        <v>185000</v>
      </c>
      <c r="BK32" s="46">
        <v>7.4999999999999997E-2</v>
      </c>
      <c r="BL32" s="58">
        <f t="shared" si="57"/>
        <v>10845.205479452055</v>
      </c>
      <c r="BM32" s="13"/>
      <c r="BS32" s="57">
        <v>45223</v>
      </c>
      <c r="BT32" s="64">
        <f t="shared" si="14"/>
        <v>2023</v>
      </c>
      <c r="BU32" s="58">
        <v>-30000</v>
      </c>
      <c r="BV32" s="58">
        <f t="shared" si="35"/>
        <v>134000</v>
      </c>
      <c r="BW32" s="58">
        <f t="shared" si="36"/>
        <v>134.79452054794518</v>
      </c>
      <c r="BX32" s="13"/>
    </row>
    <row r="33" spans="2:76">
      <c r="P33" s="84"/>
      <c r="Q33" s="84"/>
      <c r="R33" s="57">
        <f t="shared" si="37"/>
        <v>46374</v>
      </c>
      <c r="S33" s="58">
        <f t="shared" si="18"/>
        <v>2027</v>
      </c>
      <c r="T33" s="58">
        <f t="shared" si="38"/>
        <v>3935227.2655294947</v>
      </c>
      <c r="U33" s="58">
        <f t="shared" si="39"/>
        <v>-91166</v>
      </c>
      <c r="V33" s="58">
        <f t="shared" si="19"/>
        <v>23349.015108808337</v>
      </c>
      <c r="W33" s="58">
        <f t="shared" si="20"/>
        <v>3867410.2806383031</v>
      </c>
      <c r="X33" s="58">
        <f t="shared" si="21"/>
        <v>-67816.984891191663</v>
      </c>
      <c r="Z33" s="57">
        <f t="shared" si="22"/>
        <v>46583</v>
      </c>
      <c r="AA33" s="58">
        <f t="shared" si="4"/>
        <v>2027</v>
      </c>
      <c r="AB33" s="58">
        <f t="shared" si="23"/>
        <v>4367169.4392426126</v>
      </c>
      <c r="AC33" s="58">
        <f t="shared" si="24"/>
        <v>-34780.986771779273</v>
      </c>
      <c r="AD33" s="61">
        <f t="shared" si="5"/>
        <v>46614</v>
      </c>
      <c r="AE33" s="58">
        <f t="shared" si="6"/>
        <v>23655.501129230819</v>
      </c>
      <c r="AF33" s="58">
        <f t="shared" si="7"/>
        <v>4356043.9536000639</v>
      </c>
      <c r="AG33" s="58">
        <f t="shared" si="8"/>
        <v>11125.485642548651</v>
      </c>
      <c r="AH33" s="57"/>
      <c r="AI33" s="57"/>
      <c r="AJ33" s="58"/>
      <c r="AK33" s="58"/>
      <c r="AL33" s="58"/>
      <c r="AM33" s="58"/>
      <c r="AN33" s="58"/>
      <c r="AO33" s="57"/>
      <c r="AP33" s="57"/>
      <c r="AQ33" s="57"/>
      <c r="AR33" s="58"/>
      <c r="AS33" s="58"/>
      <c r="AT33" s="2"/>
      <c r="AU33" s="58"/>
      <c r="AV33" s="77"/>
      <c r="AW33" s="77"/>
      <c r="AX33" s="78"/>
      <c r="AY33" s="60"/>
      <c r="AZ33" s="13"/>
      <c r="BA33" s="57">
        <f t="shared" si="56"/>
        <v>46295</v>
      </c>
      <c r="BB33" s="58"/>
      <c r="BC33" s="58">
        <f t="shared" si="32"/>
        <v>1000000</v>
      </c>
      <c r="BD33" s="58"/>
      <c r="BE33" s="58"/>
      <c r="BF33" s="58">
        <f t="shared" si="42"/>
        <v>500000</v>
      </c>
      <c r="BG33" s="58">
        <f t="shared" si="43"/>
        <v>6301.3698630136987</v>
      </c>
      <c r="BH33" s="46"/>
      <c r="BI33" s="58">
        <v>-250000</v>
      </c>
      <c r="BJ33" s="58">
        <f t="shared" si="46"/>
        <v>-65000</v>
      </c>
      <c r="BK33" s="46">
        <v>7.4999999999999997E-2</v>
      </c>
      <c r="BL33" s="58">
        <f t="shared" si="57"/>
        <v>4663.0136986301368</v>
      </c>
      <c r="BM33" s="13"/>
      <c r="BS33" s="57">
        <v>45227</v>
      </c>
      <c r="BT33" s="64">
        <f t="shared" si="14"/>
        <v>2023</v>
      </c>
      <c r="BU33" s="58">
        <v>10000</v>
      </c>
      <c r="BV33" s="58">
        <f t="shared" si="35"/>
        <v>144000</v>
      </c>
      <c r="BW33" s="58">
        <f t="shared" si="36"/>
        <v>110.13698630136986</v>
      </c>
      <c r="BX33" s="13"/>
    </row>
    <row r="34" spans="2:76">
      <c r="P34" s="84"/>
      <c r="Q34" s="84"/>
      <c r="R34" s="57">
        <f t="shared" si="37"/>
        <v>46405</v>
      </c>
      <c r="S34" s="58">
        <f t="shared" si="18"/>
        <v>2027</v>
      </c>
      <c r="T34" s="58">
        <f t="shared" si="38"/>
        <v>3867410.2806383031</v>
      </c>
      <c r="U34" s="58">
        <f t="shared" si="39"/>
        <v>-91166</v>
      </c>
      <c r="V34" s="58">
        <f t="shared" si="19"/>
        <v>22946.634331787267</v>
      </c>
      <c r="W34" s="58">
        <f t="shared" si="20"/>
        <v>3799190.9149700906</v>
      </c>
      <c r="X34" s="58">
        <f t="shared" si="21"/>
        <v>-68219.365668212733</v>
      </c>
      <c r="Z34" s="57">
        <f t="shared" si="22"/>
        <v>46614</v>
      </c>
      <c r="AA34" s="58">
        <f t="shared" si="4"/>
        <v>2027</v>
      </c>
      <c r="AB34" s="58">
        <f t="shared" si="23"/>
        <v>4356043.9536000639</v>
      </c>
      <c r="AC34" s="58">
        <f t="shared" si="24"/>
        <v>-34780.986771779273</v>
      </c>
      <c r="AD34" s="61">
        <f t="shared" si="5"/>
        <v>46645</v>
      </c>
      <c r="AE34" s="58">
        <f t="shared" si="6"/>
        <v>23595.238082000345</v>
      </c>
      <c r="AF34" s="58">
        <f t="shared" si="7"/>
        <v>4344858.2049102848</v>
      </c>
      <c r="AG34" s="58">
        <f t="shared" si="8"/>
        <v>11185.74868977908</v>
      </c>
      <c r="AH34" s="57"/>
      <c r="AI34" s="57"/>
      <c r="AJ34" s="58"/>
      <c r="AK34" s="58"/>
      <c r="AL34" s="58"/>
      <c r="AM34" s="58"/>
      <c r="AN34" s="58"/>
      <c r="AO34" s="57"/>
      <c r="AP34" s="57"/>
      <c r="AQ34" s="57"/>
      <c r="AR34" s="58"/>
      <c r="AS34" s="58"/>
      <c r="AT34" s="2"/>
      <c r="AU34" s="2"/>
      <c r="AV34" s="85"/>
      <c r="AW34" s="85"/>
      <c r="AX34" s="78"/>
      <c r="AY34" s="60"/>
      <c r="AZ34" s="13"/>
      <c r="BA34" s="57">
        <v>46387</v>
      </c>
      <c r="BB34" s="58"/>
      <c r="BC34" s="58">
        <f t="shared" si="32"/>
        <v>1000000</v>
      </c>
      <c r="BD34" s="13"/>
      <c r="BE34" s="58"/>
      <c r="BF34" s="58">
        <f t="shared" si="42"/>
        <v>500000</v>
      </c>
      <c r="BG34" s="58">
        <f t="shared" si="43"/>
        <v>6301.3698630136987</v>
      </c>
      <c r="BH34" s="58"/>
      <c r="BI34" s="58">
        <v>0</v>
      </c>
      <c r="BJ34" s="58">
        <f t="shared" si="46"/>
        <v>-65000</v>
      </c>
      <c r="BK34" s="46">
        <v>7.4999999999999997E-2</v>
      </c>
      <c r="BL34" s="58">
        <f>-SUM(BL31:BL33)</f>
        <v>-32398.630136986303</v>
      </c>
      <c r="BM34" s="13"/>
      <c r="BS34" s="57">
        <v>45232</v>
      </c>
      <c r="BT34" s="64">
        <f t="shared" si="14"/>
        <v>2023</v>
      </c>
      <c r="BU34" s="58">
        <v>60000</v>
      </c>
      <c r="BV34" s="58">
        <f t="shared" si="35"/>
        <v>204000</v>
      </c>
      <c r="BW34" s="58">
        <f t="shared" si="36"/>
        <v>147.94520547945203</v>
      </c>
      <c r="BX34" s="13"/>
    </row>
    <row r="35" spans="2:76">
      <c r="B35" s="63"/>
      <c r="C35" s="2"/>
      <c r="D35" s="2"/>
      <c r="E35" s="2"/>
      <c r="F35" s="2"/>
      <c r="G35" s="2"/>
      <c r="P35" s="84"/>
      <c r="Q35" s="84"/>
      <c r="R35" s="57">
        <f t="shared" si="37"/>
        <v>46436</v>
      </c>
      <c r="S35" s="58">
        <f t="shared" si="18"/>
        <v>2027</v>
      </c>
      <c r="T35" s="58">
        <f t="shared" si="38"/>
        <v>3799190.9149700906</v>
      </c>
      <c r="U35" s="58">
        <f t="shared" si="39"/>
        <v>-91166</v>
      </c>
      <c r="V35" s="58">
        <f t="shared" si="19"/>
        <v>22541.866095489208</v>
      </c>
      <c r="W35" s="58">
        <f t="shared" si="20"/>
        <v>3730566.78106558</v>
      </c>
      <c r="X35" s="58">
        <f t="shared" si="21"/>
        <v>-68624.133904510789</v>
      </c>
      <c r="Z35" s="57">
        <f t="shared" si="22"/>
        <v>46645</v>
      </c>
      <c r="AA35" s="58">
        <f t="shared" si="4"/>
        <v>2027</v>
      </c>
      <c r="AB35" s="58">
        <f t="shared" si="23"/>
        <v>4344858.2049102848</v>
      </c>
      <c r="AC35" s="58">
        <f t="shared" si="24"/>
        <v>-34780.986771779273</v>
      </c>
      <c r="AD35" s="61">
        <f t="shared" si="5"/>
        <v>46675</v>
      </c>
      <c r="AE35" s="58">
        <f t="shared" si="6"/>
        <v>23534.648609930711</v>
      </c>
      <c r="AF35" s="58">
        <f t="shared" si="7"/>
        <v>4333611.8667484364</v>
      </c>
      <c r="AG35" s="58">
        <f t="shared" si="8"/>
        <v>11246.338161848485</v>
      </c>
      <c r="AH35" s="57"/>
      <c r="AI35" s="57"/>
      <c r="AJ35" s="58"/>
      <c r="AK35" s="58"/>
      <c r="AL35" s="58"/>
      <c r="AM35" s="58"/>
      <c r="AN35" s="58"/>
      <c r="AO35" s="57"/>
      <c r="AP35" s="57"/>
      <c r="AQ35" s="57"/>
      <c r="AR35" s="58"/>
      <c r="AS35" s="58"/>
      <c r="AT35" s="2"/>
      <c r="AU35" s="2"/>
      <c r="AV35" s="77"/>
      <c r="AW35" s="77"/>
      <c r="AX35" s="78"/>
      <c r="AY35" s="60"/>
      <c r="AZ35" s="13"/>
      <c r="BA35" s="57">
        <f>EDATE(BA34,3)</f>
        <v>46477</v>
      </c>
      <c r="BB35" s="58"/>
      <c r="BC35" s="58">
        <f t="shared" si="32"/>
        <v>1000000</v>
      </c>
      <c r="BE35" s="58">
        <v>0</v>
      </c>
      <c r="BF35" s="58">
        <f t="shared" si="42"/>
        <v>500000</v>
      </c>
      <c r="BG35" s="58">
        <f>-SUM(BG14:BG34)</f>
        <v>-104571.23287671231</v>
      </c>
      <c r="BI35" s="58">
        <f>-BJ34</f>
        <v>65000</v>
      </c>
      <c r="BJ35" s="58">
        <f t="shared" si="46"/>
        <v>0</v>
      </c>
      <c r="BK35" s="46">
        <v>7.4999999999999997E-2</v>
      </c>
      <c r="BL35" s="58">
        <f>BJ34*(BA35-BA34)/365*(0.025+BK34)</f>
        <v>-1602.7397260273974</v>
      </c>
      <c r="BM35" s="13"/>
      <c r="BS35" s="57">
        <v>45233</v>
      </c>
      <c r="BT35" s="64">
        <f t="shared" si="14"/>
        <v>2023</v>
      </c>
      <c r="BU35" s="58">
        <v>-45000</v>
      </c>
      <c r="BV35" s="58">
        <f t="shared" si="35"/>
        <v>159000</v>
      </c>
      <c r="BW35" s="58">
        <f t="shared" si="36"/>
        <v>41.917808219178077</v>
      </c>
      <c r="BX35" s="13"/>
    </row>
    <row r="36" spans="2:76">
      <c r="B36" s="63"/>
      <c r="C36" s="2"/>
      <c r="D36" s="2"/>
      <c r="E36" s="2"/>
      <c r="F36" s="2"/>
      <c r="G36" s="2"/>
      <c r="P36" s="84"/>
      <c r="Q36" s="84"/>
      <c r="R36" s="57">
        <f t="shared" si="37"/>
        <v>46464</v>
      </c>
      <c r="S36" s="58">
        <f t="shared" si="18"/>
        <v>2027</v>
      </c>
      <c r="T36" s="58">
        <f t="shared" si="38"/>
        <v>3730566.78106558</v>
      </c>
      <c r="U36" s="58">
        <f t="shared" si="39"/>
        <v>-91166</v>
      </c>
      <c r="V36" s="58">
        <f t="shared" si="19"/>
        <v>22134.69623432244</v>
      </c>
      <c r="W36" s="58">
        <f t="shared" si="20"/>
        <v>3661535.4772999026</v>
      </c>
      <c r="X36" s="58">
        <f t="shared" si="21"/>
        <v>-69031.303765677556</v>
      </c>
      <c r="Z36" s="57">
        <f t="shared" si="22"/>
        <v>46675</v>
      </c>
      <c r="AA36" s="58">
        <f t="shared" si="4"/>
        <v>2027</v>
      </c>
      <c r="AB36" s="58">
        <f t="shared" si="23"/>
        <v>4333611.8667484364</v>
      </c>
      <c r="AC36" s="58">
        <f t="shared" si="24"/>
        <v>-34780.986771779273</v>
      </c>
      <c r="AD36" s="61">
        <f t="shared" si="5"/>
        <v>46706</v>
      </c>
      <c r="AE36" s="58">
        <f t="shared" si="6"/>
        <v>23473.730944887364</v>
      </c>
      <c r="AF36" s="58">
        <f t="shared" si="7"/>
        <v>4322304.610921545</v>
      </c>
      <c r="AG36" s="58">
        <f t="shared" si="8"/>
        <v>11307.2558268914</v>
      </c>
      <c r="AH36" s="57"/>
      <c r="AI36" s="57"/>
      <c r="AJ36" s="58"/>
      <c r="AK36" s="58"/>
      <c r="AL36" s="58"/>
      <c r="AM36" s="58"/>
      <c r="AN36" s="58"/>
      <c r="AO36" s="57"/>
      <c r="AP36" s="57"/>
      <c r="AQ36" s="57"/>
      <c r="AR36" s="58"/>
      <c r="AS36" s="58"/>
      <c r="AT36" s="2"/>
      <c r="AU36" s="2"/>
      <c r="AV36" s="85"/>
      <c r="AW36" s="85"/>
      <c r="AX36" s="78"/>
      <c r="AY36" s="60"/>
      <c r="AZ36" s="13"/>
      <c r="BA36" s="57">
        <f>BA35</f>
        <v>46477</v>
      </c>
      <c r="BB36" s="58"/>
      <c r="BC36" s="58">
        <f t="shared" si="32"/>
        <v>1000000</v>
      </c>
      <c r="BE36" s="58"/>
      <c r="BF36" s="58">
        <f t="shared" si="42"/>
        <v>500000</v>
      </c>
      <c r="BG36" s="58">
        <f t="shared" ref="BG36:BG40" si="58">BF35*(BA36-BA35)/365*0.05</f>
        <v>0</v>
      </c>
      <c r="BK36" s="13"/>
      <c r="BL36" s="13"/>
      <c r="BM36" s="13"/>
      <c r="BS36" s="57">
        <v>45236</v>
      </c>
      <c r="BT36" s="64">
        <f t="shared" si="14"/>
        <v>2023</v>
      </c>
      <c r="BU36" s="58">
        <v>-40000</v>
      </c>
      <c r="BV36" s="58">
        <f t="shared" si="35"/>
        <v>119000</v>
      </c>
      <c r="BW36" s="58">
        <f t="shared" si="36"/>
        <v>98.013698630136986</v>
      </c>
      <c r="BX36" s="13"/>
    </row>
    <row r="37" spans="2:76">
      <c r="B37" s="84"/>
      <c r="C37" s="2"/>
      <c r="D37" s="2"/>
      <c r="E37" s="2"/>
      <c r="F37" s="2"/>
      <c r="G37" s="2"/>
      <c r="P37" s="84"/>
      <c r="Q37" s="84"/>
      <c r="R37" s="57">
        <f t="shared" si="37"/>
        <v>46495</v>
      </c>
      <c r="S37" s="58">
        <f t="shared" si="18"/>
        <v>2027</v>
      </c>
      <c r="T37" s="58">
        <f t="shared" si="38"/>
        <v>3661535.4772999026</v>
      </c>
      <c r="U37" s="58">
        <f t="shared" si="39"/>
        <v>-91166</v>
      </c>
      <c r="V37" s="58">
        <f t="shared" si="19"/>
        <v>21725.110498646089</v>
      </c>
      <c r="W37" s="58">
        <f t="shared" si="20"/>
        <v>3592094.5877985489</v>
      </c>
      <c r="X37" s="58">
        <f t="shared" si="21"/>
        <v>-69440.889501353915</v>
      </c>
      <c r="Z37" s="57">
        <f t="shared" si="22"/>
        <v>46706</v>
      </c>
      <c r="AA37" s="58">
        <f t="shared" si="4"/>
        <v>2027</v>
      </c>
      <c r="AB37" s="58">
        <f t="shared" si="23"/>
        <v>4322304.610921545</v>
      </c>
      <c r="AC37" s="58">
        <f t="shared" si="24"/>
        <v>-34780.986771779273</v>
      </c>
      <c r="AD37" s="61">
        <f t="shared" si="5"/>
        <v>46736</v>
      </c>
      <c r="AE37" s="58">
        <f t="shared" si="6"/>
        <v>23412.483309158368</v>
      </c>
      <c r="AF37" s="58">
        <f t="shared" si="7"/>
        <v>4310936.1074589239</v>
      </c>
      <c r="AG37" s="58">
        <f t="shared" si="8"/>
        <v>11368.503462621011</v>
      </c>
      <c r="AH37" s="57"/>
      <c r="AI37" s="57"/>
      <c r="AJ37" s="58"/>
      <c r="AK37" s="58"/>
      <c r="AL37" s="58"/>
      <c r="AM37" s="58"/>
      <c r="AN37" s="58"/>
      <c r="AO37" s="57"/>
      <c r="AP37" s="57"/>
      <c r="AQ37" s="57"/>
      <c r="AR37" s="58"/>
      <c r="AS37" s="58"/>
      <c r="AT37" s="2"/>
      <c r="AU37" s="2"/>
      <c r="AV37" s="85"/>
      <c r="AW37" s="85"/>
      <c r="AX37" s="78"/>
      <c r="AY37" s="60"/>
      <c r="AZ37" s="13"/>
      <c r="BA37" s="57">
        <f t="shared" ref="BA37:BA38" si="59">EDATE(BA36,3)</f>
        <v>46568</v>
      </c>
      <c r="BB37" s="58"/>
      <c r="BC37" s="58">
        <f t="shared" si="32"/>
        <v>1000000</v>
      </c>
      <c r="BE37" s="58">
        <v>-100000</v>
      </c>
      <c r="BF37" s="58">
        <f t="shared" si="42"/>
        <v>400000</v>
      </c>
      <c r="BG37" s="58">
        <f t="shared" si="58"/>
        <v>6232.876712328768</v>
      </c>
      <c r="BK37" s="13"/>
      <c r="BL37" s="13"/>
      <c r="BM37" s="13"/>
      <c r="BS37" s="57">
        <v>45238</v>
      </c>
      <c r="BT37" s="64">
        <f t="shared" si="14"/>
        <v>2023</v>
      </c>
      <c r="BU37" s="58">
        <v>-50000</v>
      </c>
      <c r="BV37" s="58">
        <f t="shared" si="35"/>
        <v>69000</v>
      </c>
      <c r="BW37" s="58">
        <f t="shared" si="36"/>
        <v>48.904109589041092</v>
      </c>
      <c r="BX37" s="13"/>
    </row>
    <row r="38" spans="2:76">
      <c r="B38" s="84"/>
      <c r="C38" s="2"/>
      <c r="D38" s="2"/>
      <c r="E38" s="2"/>
      <c r="F38" s="2"/>
      <c r="G38" s="2"/>
      <c r="P38" s="84"/>
      <c r="Q38" s="84"/>
      <c r="R38" s="57">
        <f t="shared" si="37"/>
        <v>46525</v>
      </c>
      <c r="S38" s="58">
        <f t="shared" si="18"/>
        <v>2027</v>
      </c>
      <c r="T38" s="58">
        <f t="shared" si="38"/>
        <v>3592094.5877985489</v>
      </c>
      <c r="U38" s="58">
        <f t="shared" si="39"/>
        <v>-91166</v>
      </c>
      <c r="V38" s="58">
        <f t="shared" si="19"/>
        <v>21313.094554271389</v>
      </c>
      <c r="W38" s="58">
        <f t="shared" si="20"/>
        <v>3522241.6823528204</v>
      </c>
      <c r="X38" s="58">
        <f t="shared" si="21"/>
        <v>-69852.905445728611</v>
      </c>
      <c r="Z38" s="57">
        <f t="shared" si="22"/>
        <v>46736</v>
      </c>
      <c r="AA38" s="58">
        <f t="shared" si="4"/>
        <v>2028</v>
      </c>
      <c r="AB38" s="58">
        <f t="shared" si="23"/>
        <v>4310936.1074589239</v>
      </c>
      <c r="AC38" s="58">
        <f t="shared" si="24"/>
        <v>-34780.986771779273</v>
      </c>
      <c r="AD38" s="61">
        <f t="shared" si="5"/>
        <v>46767</v>
      </c>
      <c r="AE38" s="58">
        <f t="shared" si="6"/>
        <v>23350.903915402505</v>
      </c>
      <c r="AF38" s="58">
        <f t="shared" si="7"/>
        <v>4299506.0246025473</v>
      </c>
      <c r="AG38" s="58">
        <f t="shared" si="8"/>
        <v>11430.082856376655</v>
      </c>
      <c r="AH38" s="57"/>
      <c r="AI38" s="57"/>
      <c r="AJ38" s="58"/>
      <c r="AK38" s="58"/>
      <c r="AL38" s="58"/>
      <c r="AM38" s="58"/>
      <c r="AN38" s="58"/>
      <c r="AO38" s="57"/>
      <c r="AP38" s="57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57">
        <f t="shared" si="59"/>
        <v>46660</v>
      </c>
      <c r="BB38" s="58"/>
      <c r="BC38" s="58">
        <f t="shared" si="32"/>
        <v>1000000</v>
      </c>
      <c r="BE38" s="58">
        <v>-100000</v>
      </c>
      <c r="BF38" s="58">
        <f t="shared" si="42"/>
        <v>300000</v>
      </c>
      <c r="BG38" s="58">
        <f t="shared" si="58"/>
        <v>5041.0958904109593</v>
      </c>
      <c r="BK38" s="13"/>
      <c r="BL38" s="13"/>
      <c r="BM38" s="13"/>
      <c r="BS38" s="57">
        <v>45247</v>
      </c>
      <c r="BT38" s="64">
        <f t="shared" si="14"/>
        <v>2023</v>
      </c>
      <c r="BU38" s="58">
        <v>-25000</v>
      </c>
      <c r="BV38" s="58">
        <f t="shared" si="35"/>
        <v>44000</v>
      </c>
      <c r="BW38" s="58">
        <f t="shared" si="36"/>
        <v>127.60273972602738</v>
      </c>
      <c r="BX38" s="13"/>
    </row>
    <row r="39" spans="2:76">
      <c r="B39" s="84"/>
      <c r="C39" s="2"/>
      <c r="D39" s="2"/>
      <c r="E39" s="2"/>
      <c r="F39" s="2"/>
      <c r="G39" s="2"/>
      <c r="J39" s="86"/>
      <c r="K39" s="58"/>
      <c r="L39" s="58"/>
      <c r="M39" s="58"/>
      <c r="N39" s="58"/>
      <c r="O39" s="58"/>
      <c r="P39" s="84"/>
      <c r="Q39" s="84"/>
      <c r="R39" s="57">
        <f t="shared" si="37"/>
        <v>46556</v>
      </c>
      <c r="S39" s="58">
        <f t="shared" si="18"/>
        <v>2027</v>
      </c>
      <c r="T39" s="58">
        <f t="shared" si="38"/>
        <v>3522241.6823528204</v>
      </c>
      <c r="U39" s="58">
        <f t="shared" si="39"/>
        <v>-91166</v>
      </c>
      <c r="V39" s="58">
        <f t="shared" si="19"/>
        <v>20898.633981960065</v>
      </c>
      <c r="W39" s="58">
        <f t="shared" si="20"/>
        <v>3451974.3163347803</v>
      </c>
      <c r="X39" s="58">
        <f t="shared" si="21"/>
        <v>-70267.366018039931</v>
      </c>
      <c r="Z39" s="57">
        <f t="shared" si="22"/>
        <v>46767</v>
      </c>
      <c r="AA39" s="58">
        <f t="shared" si="4"/>
        <v>2028</v>
      </c>
      <c r="AB39" s="58">
        <f t="shared" si="23"/>
        <v>4299506.0246025473</v>
      </c>
      <c r="AC39" s="58">
        <f t="shared" si="24"/>
        <v>-34780.986771779273</v>
      </c>
      <c r="AD39" s="61">
        <f t="shared" si="5"/>
        <v>46798</v>
      </c>
      <c r="AE39" s="58">
        <f t="shared" si="6"/>
        <v>23288.990966597132</v>
      </c>
      <c r="AF39" s="58">
        <f t="shared" si="7"/>
        <v>4288014.0287973657</v>
      </c>
      <c r="AG39" s="58">
        <f t="shared" si="8"/>
        <v>11491.995805181563</v>
      </c>
      <c r="AH39" s="57"/>
      <c r="AI39" s="57"/>
      <c r="AJ39" s="58"/>
      <c r="AK39" s="58"/>
      <c r="AL39" s="58"/>
      <c r="AM39" s="58"/>
      <c r="AN39" s="58"/>
      <c r="AO39" s="57"/>
      <c r="AP39" s="57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57">
        <v>46752</v>
      </c>
      <c r="BB39" s="58"/>
      <c r="BC39" s="58">
        <f t="shared" si="32"/>
        <v>1000000</v>
      </c>
      <c r="BE39" s="58">
        <v>-100000</v>
      </c>
      <c r="BF39" s="58">
        <f t="shared" si="42"/>
        <v>200000</v>
      </c>
      <c r="BG39" s="58">
        <f t="shared" si="58"/>
        <v>3780.821917808219</v>
      </c>
      <c r="BH39" s="2"/>
      <c r="BI39" s="2"/>
      <c r="BJ39" s="2"/>
      <c r="BL39" s="13"/>
      <c r="BM39" s="13"/>
      <c r="BS39" s="57">
        <v>45258</v>
      </c>
      <c r="BT39" s="64">
        <f t="shared" si="14"/>
        <v>2023</v>
      </c>
      <c r="BU39" s="58">
        <v>60000</v>
      </c>
      <c r="BV39" s="58">
        <f t="shared" si="35"/>
        <v>104000</v>
      </c>
      <c r="BW39" s="58">
        <f t="shared" si="36"/>
        <v>99.452054794520549</v>
      </c>
      <c r="BX39" s="13"/>
    </row>
    <row r="40" spans="2:76">
      <c r="B40" s="84"/>
      <c r="C40" s="2"/>
      <c r="D40" s="2"/>
      <c r="E40" s="2"/>
      <c r="F40" s="2"/>
      <c r="G40" s="2"/>
      <c r="J40" s="86"/>
      <c r="K40" s="58"/>
      <c r="L40" s="58"/>
      <c r="M40" s="58"/>
      <c r="N40" s="58"/>
      <c r="O40" s="58"/>
      <c r="P40" s="84"/>
      <c r="Q40" s="84"/>
      <c r="R40" s="57">
        <f t="shared" si="37"/>
        <v>46586</v>
      </c>
      <c r="S40" s="58">
        <f t="shared" si="18"/>
        <v>2027</v>
      </c>
      <c r="T40" s="58">
        <f t="shared" si="38"/>
        <v>3451974.3163347803</v>
      </c>
      <c r="U40" s="58">
        <f t="shared" si="39"/>
        <v>-91166</v>
      </c>
      <c r="V40" s="58">
        <f t="shared" si="19"/>
        <v>20481.714276919698</v>
      </c>
      <c r="W40" s="58">
        <f t="shared" si="20"/>
        <v>3381290.0306116999</v>
      </c>
      <c r="X40" s="58">
        <f t="shared" si="21"/>
        <v>-70684.285723080306</v>
      </c>
      <c r="Z40" s="57">
        <f t="shared" si="22"/>
        <v>46798</v>
      </c>
      <c r="AA40" s="58">
        <f t="shared" si="4"/>
        <v>2028</v>
      </c>
      <c r="AB40" s="58">
        <f t="shared" si="23"/>
        <v>4288014.0287973657</v>
      </c>
      <c r="AC40" s="58">
        <f t="shared" si="24"/>
        <v>-34780.986771779273</v>
      </c>
      <c r="AD40" s="61">
        <f t="shared" si="5"/>
        <v>46827</v>
      </c>
      <c r="AE40" s="58">
        <f t="shared" si="6"/>
        <v>23226.74265598573</v>
      </c>
      <c r="AF40" s="58">
        <f t="shared" si="7"/>
        <v>4276459.7846815726</v>
      </c>
      <c r="AG40" s="58">
        <f t="shared" si="8"/>
        <v>11554.244115793146</v>
      </c>
      <c r="AH40" s="57"/>
      <c r="AI40" s="57"/>
      <c r="AJ40" s="58"/>
      <c r="AK40" s="58"/>
      <c r="AL40" s="58"/>
      <c r="AM40" s="58"/>
      <c r="AN40" s="58"/>
      <c r="AO40" s="57"/>
      <c r="AP40" s="57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57">
        <f t="shared" ref="BA40:BA43" si="60">EDATE(BA39,3)</f>
        <v>46843</v>
      </c>
      <c r="BB40" s="58">
        <v>-250000</v>
      </c>
      <c r="BC40" s="58">
        <f t="shared" si="32"/>
        <v>750000</v>
      </c>
      <c r="BD40" s="87"/>
      <c r="BE40" s="58">
        <v>-100000</v>
      </c>
      <c r="BF40" s="58">
        <f t="shared" si="42"/>
        <v>100000</v>
      </c>
      <c r="BG40" s="58">
        <f t="shared" si="58"/>
        <v>2493.1506849315069</v>
      </c>
      <c r="BH40" s="2"/>
      <c r="BI40" s="2"/>
      <c r="BJ40" s="2"/>
      <c r="BL40" s="13"/>
      <c r="BM40" s="13"/>
      <c r="BS40" s="57">
        <v>45264</v>
      </c>
      <c r="BT40" s="64">
        <f t="shared" si="14"/>
        <v>2023</v>
      </c>
      <c r="BU40" s="58">
        <v>-60000</v>
      </c>
      <c r="BV40" s="58">
        <f t="shared" si="35"/>
        <v>44000</v>
      </c>
      <c r="BW40" s="58">
        <f t="shared" si="36"/>
        <v>128.21917808219177</v>
      </c>
      <c r="BX40" s="13"/>
    </row>
    <row r="41" spans="2:76">
      <c r="B41" s="84"/>
      <c r="C41" s="2"/>
      <c r="D41" s="2"/>
      <c r="E41" s="2"/>
      <c r="F41" s="2"/>
      <c r="G41" s="2"/>
      <c r="J41" s="86"/>
      <c r="K41" s="58"/>
      <c r="L41" s="58"/>
      <c r="M41" s="58"/>
      <c r="N41" s="58"/>
      <c r="O41" s="58"/>
      <c r="P41" s="84"/>
      <c r="Q41" s="84"/>
      <c r="R41" s="57">
        <f t="shared" si="37"/>
        <v>46617</v>
      </c>
      <c r="S41" s="58">
        <f t="shared" si="18"/>
        <v>2027</v>
      </c>
      <c r="T41" s="58">
        <f t="shared" si="38"/>
        <v>3381290.0306116999</v>
      </c>
      <c r="U41" s="58">
        <f t="shared" si="39"/>
        <v>-91166</v>
      </c>
      <c r="V41" s="58">
        <f t="shared" si="19"/>
        <v>20062.320848296087</v>
      </c>
      <c r="W41" s="58">
        <f t="shared" si="20"/>
        <v>3310186.3514599958</v>
      </c>
      <c r="X41" s="58">
        <f t="shared" si="21"/>
        <v>-71103.679151703909</v>
      </c>
      <c r="Z41" s="57">
        <f t="shared" si="22"/>
        <v>46827</v>
      </c>
      <c r="AA41" s="58">
        <f t="shared" si="4"/>
        <v>2028</v>
      </c>
      <c r="AB41" s="58">
        <f t="shared" si="23"/>
        <v>4276459.7846815726</v>
      </c>
      <c r="AC41" s="58">
        <f t="shared" si="24"/>
        <v>-34780.986771779273</v>
      </c>
      <c r="AD41" s="61">
        <f t="shared" si="5"/>
        <v>46858</v>
      </c>
      <c r="AE41" s="58">
        <f t="shared" si="6"/>
        <v>23164.157167025187</v>
      </c>
      <c r="AF41" s="58">
        <f t="shared" si="7"/>
        <v>4264842.9550768184</v>
      </c>
      <c r="AG41" s="58">
        <f t="shared" si="8"/>
        <v>11616.829604754224</v>
      </c>
      <c r="AH41" s="57"/>
      <c r="AI41" s="57"/>
      <c r="AJ41" s="58"/>
      <c r="AK41" s="58"/>
      <c r="AL41" s="58"/>
      <c r="AM41" s="58"/>
      <c r="AN41" s="58"/>
      <c r="AO41" s="57"/>
      <c r="AP41" s="57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57">
        <f t="shared" si="60"/>
        <v>46934</v>
      </c>
      <c r="BB41" s="58">
        <v>-250000</v>
      </c>
      <c r="BC41" s="58">
        <f t="shared" si="32"/>
        <v>500000</v>
      </c>
      <c r="BD41" s="87"/>
      <c r="BE41" s="58">
        <v>-100000</v>
      </c>
      <c r="BF41" s="58">
        <f t="shared" si="42"/>
        <v>0</v>
      </c>
      <c r="BG41" s="58" t="s">
        <v>118</v>
      </c>
      <c r="BH41" s="2"/>
      <c r="BI41" s="2"/>
      <c r="BJ41" s="2"/>
      <c r="BL41" s="13"/>
      <c r="BM41" s="13"/>
      <c r="BS41" s="57">
        <v>45273</v>
      </c>
      <c r="BT41" s="64">
        <f t="shared" si="14"/>
        <v>2023</v>
      </c>
      <c r="BU41" s="58">
        <v>50000</v>
      </c>
      <c r="BV41" s="58">
        <f t="shared" si="35"/>
        <v>94000</v>
      </c>
      <c r="BW41" s="58">
        <f t="shared" si="36"/>
        <v>81.36986301369862</v>
      </c>
      <c r="BX41" s="13"/>
    </row>
    <row r="42" spans="2:76">
      <c r="B42" s="84"/>
      <c r="C42" s="2"/>
      <c r="D42" s="2"/>
      <c r="E42" s="2"/>
      <c r="F42" s="2"/>
      <c r="G42" s="2"/>
      <c r="J42" s="86"/>
      <c r="K42" s="58"/>
      <c r="L42" s="58"/>
      <c r="M42" s="58"/>
      <c r="N42" s="58"/>
      <c r="O42" s="58"/>
      <c r="P42" s="84"/>
      <c r="Q42" s="84"/>
      <c r="R42" s="57">
        <f t="shared" si="37"/>
        <v>46648</v>
      </c>
      <c r="S42" s="58">
        <f t="shared" si="18"/>
        <v>2027</v>
      </c>
      <c r="T42" s="58">
        <f t="shared" si="38"/>
        <v>3310186.3514599958</v>
      </c>
      <c r="U42" s="58">
        <f t="shared" si="39"/>
        <v>-91166</v>
      </c>
      <c r="V42" s="58">
        <f t="shared" si="19"/>
        <v>19640.439018662644</v>
      </c>
      <c r="W42" s="58">
        <f t="shared" si="20"/>
        <v>3238660.7904786584</v>
      </c>
      <c r="X42" s="58">
        <f t="shared" si="21"/>
        <v>-71525.560981337359</v>
      </c>
      <c r="Z42" s="57">
        <f t="shared" si="22"/>
        <v>46858</v>
      </c>
      <c r="AA42" s="58">
        <f t="shared" si="4"/>
        <v>2028</v>
      </c>
      <c r="AB42" s="58">
        <f t="shared" si="23"/>
        <v>4264842.9550768184</v>
      </c>
      <c r="AC42" s="58">
        <f t="shared" si="24"/>
        <v>-34780.986771779273</v>
      </c>
      <c r="AD42" s="61">
        <f t="shared" si="5"/>
        <v>46888</v>
      </c>
      <c r="AE42" s="58">
        <f t="shared" si="6"/>
        <v>23101.232673332768</v>
      </c>
      <c r="AF42" s="58">
        <f t="shared" si="7"/>
        <v>4253163.2009783722</v>
      </c>
      <c r="AG42" s="58">
        <f t="shared" si="8"/>
        <v>11679.754098446108</v>
      </c>
      <c r="AH42" s="57"/>
      <c r="AI42" s="57"/>
      <c r="AJ42" s="58"/>
      <c r="AK42" s="58"/>
      <c r="AL42" s="58"/>
      <c r="AM42" s="58"/>
      <c r="AN42" s="58"/>
      <c r="AO42" s="57"/>
      <c r="AP42" s="57"/>
      <c r="AQ42" s="13"/>
      <c r="AR42" s="13"/>
      <c r="AS42" s="13"/>
      <c r="AT42" s="58"/>
      <c r="AU42" s="58"/>
      <c r="AV42" s="58"/>
      <c r="AW42" s="13"/>
      <c r="AX42" s="13"/>
      <c r="AY42" s="13"/>
      <c r="AZ42" s="13"/>
      <c r="BA42" s="57">
        <f t="shared" si="60"/>
        <v>47026</v>
      </c>
      <c r="BB42" s="58">
        <v>-250000</v>
      </c>
      <c r="BC42" s="58">
        <f t="shared" si="32"/>
        <v>250000</v>
      </c>
      <c r="BD42" s="87"/>
      <c r="BE42" s="87"/>
      <c r="BF42" s="87"/>
      <c r="BG42" s="88"/>
      <c r="BH42" s="88"/>
      <c r="BI42" s="88"/>
      <c r="BJ42" s="58"/>
      <c r="BK42" s="13"/>
      <c r="BL42" s="13"/>
      <c r="BM42" s="13"/>
      <c r="BS42" s="57">
        <v>45280</v>
      </c>
      <c r="BT42" s="64">
        <f t="shared" si="14"/>
        <v>2023</v>
      </c>
      <c r="BU42" s="58">
        <v>50000</v>
      </c>
      <c r="BV42" s="58">
        <f t="shared" si="35"/>
        <v>144000</v>
      </c>
      <c r="BW42" s="58">
        <f t="shared" si="36"/>
        <v>135.20547945205479</v>
      </c>
      <c r="BX42" s="13"/>
    </row>
    <row r="43" spans="2:76">
      <c r="B43" s="84"/>
      <c r="C43" s="2"/>
      <c r="D43" s="2"/>
      <c r="E43" s="2"/>
      <c r="F43" s="2"/>
      <c r="G43" s="2"/>
      <c r="J43" s="86"/>
      <c r="K43" s="58"/>
      <c r="L43" s="58"/>
      <c r="M43" s="58"/>
      <c r="N43" s="58"/>
      <c r="O43" s="58"/>
      <c r="P43" s="84"/>
      <c r="Q43" s="84"/>
      <c r="R43" s="57">
        <f t="shared" si="37"/>
        <v>46678</v>
      </c>
      <c r="S43" s="58">
        <f t="shared" si="18"/>
        <v>2027</v>
      </c>
      <c r="T43" s="58">
        <f t="shared" si="38"/>
        <v>3238660.7904786584</v>
      </c>
      <c r="U43" s="58">
        <f t="shared" si="39"/>
        <v>-91166</v>
      </c>
      <c r="V43" s="58">
        <f t="shared" si="19"/>
        <v>19216.054023506706</v>
      </c>
      <c r="W43" s="58">
        <f t="shared" si="20"/>
        <v>3166710.844502165</v>
      </c>
      <c r="X43" s="58">
        <f t="shared" si="21"/>
        <v>-71949.945976493298</v>
      </c>
      <c r="Z43" s="57">
        <f t="shared" si="22"/>
        <v>46888</v>
      </c>
      <c r="AA43" s="58">
        <f t="shared" si="4"/>
        <v>2028</v>
      </c>
      <c r="AB43" s="58">
        <f t="shared" si="23"/>
        <v>4253163.2009783722</v>
      </c>
      <c r="AC43" s="58">
        <f t="shared" si="24"/>
        <v>-34780.986771779273</v>
      </c>
      <c r="AD43" s="61">
        <f t="shared" si="5"/>
        <v>46919</v>
      </c>
      <c r="AE43" s="58">
        <f t="shared" si="6"/>
        <v>23037.96733863285</v>
      </c>
      <c r="AF43" s="58">
        <f t="shared" si="7"/>
        <v>4241420.1815452259</v>
      </c>
      <c r="AG43" s="58">
        <f t="shared" si="8"/>
        <v>11743.019433146343</v>
      </c>
      <c r="AH43" s="57"/>
      <c r="AI43" s="57"/>
      <c r="AJ43" s="58"/>
      <c r="AK43" s="58"/>
      <c r="AL43" s="58"/>
      <c r="AM43" s="58"/>
      <c r="AN43" s="58"/>
      <c r="AO43" s="57"/>
      <c r="AP43" s="57"/>
      <c r="AQ43" s="13"/>
      <c r="AR43" s="13"/>
      <c r="AS43" s="13"/>
      <c r="AT43" s="58"/>
      <c r="AU43" s="58"/>
      <c r="AV43" s="58"/>
      <c r="AW43" s="13"/>
      <c r="AX43" s="13"/>
      <c r="AY43" s="13"/>
      <c r="AZ43" s="13"/>
      <c r="BA43" s="57">
        <f t="shared" si="60"/>
        <v>47117</v>
      </c>
      <c r="BB43" s="58">
        <v>-250000</v>
      </c>
      <c r="BC43" s="58">
        <f t="shared" si="32"/>
        <v>0</v>
      </c>
      <c r="BD43" s="87"/>
      <c r="BE43" s="87"/>
      <c r="BF43" s="87"/>
      <c r="BG43" s="88"/>
      <c r="BH43" s="88"/>
      <c r="BI43" s="88"/>
      <c r="BJ43" s="58"/>
      <c r="BK43" s="13"/>
      <c r="BL43" s="13"/>
      <c r="BM43" s="13"/>
      <c r="BS43" s="57">
        <v>45280</v>
      </c>
      <c r="BT43" s="64">
        <f t="shared" si="14"/>
        <v>2023</v>
      </c>
      <c r="BU43" s="58">
        <v>25000</v>
      </c>
      <c r="BV43" s="58">
        <f t="shared" si="35"/>
        <v>169000</v>
      </c>
      <c r="BW43" s="58">
        <f t="shared" si="36"/>
        <v>0</v>
      </c>
      <c r="BX43" s="13"/>
    </row>
    <row r="44" spans="2:76">
      <c r="B44" s="84"/>
      <c r="C44" s="2"/>
      <c r="D44" s="2"/>
      <c r="E44" s="2"/>
      <c r="F44" s="2"/>
      <c r="G44" s="2"/>
      <c r="J44" s="86"/>
      <c r="K44" s="58"/>
      <c r="L44" s="58"/>
      <c r="M44" s="58"/>
      <c r="N44" s="58"/>
      <c r="O44" s="58"/>
      <c r="P44" s="84"/>
      <c r="Q44" s="84"/>
      <c r="R44" s="57">
        <f t="shared" si="37"/>
        <v>46709</v>
      </c>
      <c r="S44" s="58">
        <f t="shared" si="18"/>
        <v>2027</v>
      </c>
      <c r="T44" s="58">
        <f t="shared" si="38"/>
        <v>3166710.844502165</v>
      </c>
      <c r="U44" s="58">
        <f t="shared" si="39"/>
        <v>-91166</v>
      </c>
      <c r="V44" s="58">
        <f t="shared" si="19"/>
        <v>18789.151010712845</v>
      </c>
      <c r="W44" s="58">
        <f t="shared" si="20"/>
        <v>3094333.9955128781</v>
      </c>
      <c r="X44" s="58">
        <f t="shared" si="21"/>
        <v>-72376.848989287158</v>
      </c>
      <c r="Z44" s="57">
        <f t="shared" si="22"/>
        <v>46919</v>
      </c>
      <c r="AA44" s="58">
        <f t="shared" si="4"/>
        <v>2028</v>
      </c>
      <c r="AB44" s="58">
        <f t="shared" si="23"/>
        <v>4241420.1815452259</v>
      </c>
      <c r="AC44" s="58">
        <f t="shared" si="24"/>
        <v>-34780.986771779273</v>
      </c>
      <c r="AD44" s="61">
        <f t="shared" si="5"/>
        <v>46949</v>
      </c>
      <c r="AE44" s="58">
        <f t="shared" si="6"/>
        <v>22974.359316703307</v>
      </c>
      <c r="AF44" s="58">
        <f t="shared" si="7"/>
        <v>4229613.5540901497</v>
      </c>
      <c r="AG44" s="58">
        <f t="shared" si="8"/>
        <v>11806.627455076203</v>
      </c>
      <c r="AH44" s="57"/>
      <c r="AI44" s="57"/>
      <c r="AJ44" s="58"/>
      <c r="AK44" s="58"/>
      <c r="AL44" s="58"/>
      <c r="AM44" s="58"/>
      <c r="AN44" s="58"/>
      <c r="AO44" s="57"/>
      <c r="AP44" s="57"/>
      <c r="AQ44" s="13"/>
      <c r="AR44" s="13"/>
      <c r="AS44" s="13"/>
      <c r="AT44" s="58"/>
      <c r="AU44" s="58"/>
      <c r="AV44" s="58"/>
      <c r="AW44" s="13"/>
      <c r="AX44" s="13"/>
      <c r="AY44" s="13"/>
      <c r="AZ44" s="13"/>
      <c r="BA44" s="57"/>
      <c r="BB44" s="46"/>
      <c r="BC44" s="13"/>
      <c r="BD44" s="87"/>
      <c r="BE44" s="87"/>
      <c r="BF44" s="87"/>
      <c r="BG44" s="89"/>
      <c r="BH44" s="89"/>
      <c r="BI44" s="89"/>
      <c r="BJ44" s="58"/>
      <c r="BK44" s="13"/>
      <c r="BL44" s="13"/>
      <c r="BM44" s="13"/>
      <c r="BS44" s="57">
        <v>45281</v>
      </c>
      <c r="BT44" s="64">
        <f t="shared" si="14"/>
        <v>2023</v>
      </c>
      <c r="BU44" s="58">
        <v>10000</v>
      </c>
      <c r="BV44" s="58">
        <f t="shared" si="35"/>
        <v>179000</v>
      </c>
      <c r="BW44" s="58">
        <f t="shared" si="36"/>
        <v>34.726027397260275</v>
      </c>
      <c r="BX44" s="13"/>
    </row>
    <row r="45" spans="2:76">
      <c r="B45" s="84"/>
      <c r="C45" s="2"/>
      <c r="D45" s="2"/>
      <c r="E45" s="2"/>
      <c r="F45" s="2"/>
      <c r="G45" s="2"/>
      <c r="J45" s="86"/>
      <c r="K45" s="58"/>
      <c r="L45" s="58"/>
      <c r="M45" s="58"/>
      <c r="N45" s="58"/>
      <c r="O45" s="58"/>
      <c r="P45" s="84"/>
      <c r="Q45" s="84"/>
      <c r="R45" s="57">
        <f t="shared" si="37"/>
        <v>46739</v>
      </c>
      <c r="S45" s="58">
        <f t="shared" si="18"/>
        <v>2028</v>
      </c>
      <c r="T45" s="58">
        <f t="shared" si="38"/>
        <v>3094333.9955128781</v>
      </c>
      <c r="U45" s="58">
        <f t="shared" si="39"/>
        <v>-91166</v>
      </c>
      <c r="V45" s="58">
        <f t="shared" si="19"/>
        <v>18359.715040043076</v>
      </c>
      <c r="W45" s="58">
        <f t="shared" si="20"/>
        <v>3021527.7105529211</v>
      </c>
      <c r="X45" s="58">
        <f t="shared" si="21"/>
        <v>-72806.284959956916</v>
      </c>
      <c r="Z45" s="57">
        <f t="shared" si="22"/>
        <v>46949</v>
      </c>
      <c r="AA45" s="58">
        <f t="shared" si="4"/>
        <v>2028</v>
      </c>
      <c r="AB45" s="58">
        <f t="shared" si="23"/>
        <v>4229613.5540901497</v>
      </c>
      <c r="AC45" s="58">
        <f t="shared" si="24"/>
        <v>-34780.986771779273</v>
      </c>
      <c r="AD45" s="61">
        <f t="shared" si="5"/>
        <v>46980</v>
      </c>
      <c r="AE45" s="58">
        <f t="shared" si="6"/>
        <v>22910.406751321643</v>
      </c>
      <c r="AF45" s="58">
        <f t="shared" si="7"/>
        <v>4217742.9740696922</v>
      </c>
      <c r="AG45" s="58">
        <f t="shared" si="8"/>
        <v>11870.580020457506</v>
      </c>
      <c r="AH45" s="57"/>
      <c r="AI45" s="57"/>
      <c r="AJ45" s="58"/>
      <c r="AK45" s="58"/>
      <c r="AL45" s="58"/>
      <c r="AM45" s="58"/>
      <c r="AN45" s="58"/>
      <c r="AO45" s="57"/>
      <c r="AP45" s="57"/>
      <c r="AQ45" s="13"/>
      <c r="AR45" s="13"/>
      <c r="AS45" s="13"/>
      <c r="AT45" s="58"/>
      <c r="AU45" s="58"/>
      <c r="AV45" s="58"/>
      <c r="AW45" s="13"/>
      <c r="AX45" s="13"/>
      <c r="AY45" s="13"/>
      <c r="AZ45" s="13"/>
      <c r="BA45" s="57"/>
      <c r="BB45" s="46"/>
      <c r="BC45" s="13"/>
      <c r="BD45" s="87"/>
      <c r="BE45" s="87"/>
      <c r="BF45" s="87"/>
      <c r="BG45" s="89"/>
      <c r="BH45" s="89"/>
      <c r="BI45" s="89"/>
      <c r="BJ45" s="58"/>
      <c r="BK45" s="13"/>
      <c r="BL45" s="13"/>
      <c r="BM45" s="13"/>
      <c r="BS45" s="57">
        <v>45287</v>
      </c>
      <c r="BT45" s="64">
        <f t="shared" si="14"/>
        <v>2023</v>
      </c>
      <c r="BU45" s="58">
        <v>5000</v>
      </c>
      <c r="BV45" s="58">
        <f t="shared" si="35"/>
        <v>184000</v>
      </c>
      <c r="BW45" s="58">
        <f t="shared" si="36"/>
        <v>220.6849315068493</v>
      </c>
      <c r="BX45" s="13"/>
    </row>
    <row r="46" spans="2:76">
      <c r="B46" s="84"/>
      <c r="C46" s="2"/>
      <c r="D46" s="2"/>
      <c r="E46" s="2"/>
      <c r="F46" s="2"/>
      <c r="G46" s="2"/>
      <c r="J46" s="86"/>
      <c r="K46" s="58"/>
      <c r="L46" s="58"/>
      <c r="M46" s="58"/>
      <c r="N46" s="58"/>
      <c r="O46" s="58"/>
      <c r="P46" s="84"/>
      <c r="Q46" s="84"/>
      <c r="R46" s="57">
        <f t="shared" si="37"/>
        <v>46770</v>
      </c>
      <c r="S46" s="58">
        <f t="shared" si="18"/>
        <v>2028</v>
      </c>
      <c r="T46" s="58">
        <f t="shared" si="38"/>
        <v>3021527.7105529211</v>
      </c>
      <c r="U46" s="58">
        <f t="shared" si="39"/>
        <v>-91166</v>
      </c>
      <c r="V46" s="58">
        <f t="shared" si="19"/>
        <v>17927.731082613998</v>
      </c>
      <c r="W46" s="58">
        <f t="shared" si="20"/>
        <v>2948289.4416355351</v>
      </c>
      <c r="X46" s="58">
        <f t="shared" si="21"/>
        <v>-73238.268917385998</v>
      </c>
      <c r="Z46" s="57">
        <f t="shared" si="22"/>
        <v>46980</v>
      </c>
      <c r="AA46" s="58">
        <f t="shared" si="4"/>
        <v>2028</v>
      </c>
      <c r="AB46" s="58">
        <f t="shared" si="23"/>
        <v>4217742.9740696922</v>
      </c>
      <c r="AC46" s="58">
        <f t="shared" si="24"/>
        <v>-34780.986771779273</v>
      </c>
      <c r="AD46" s="61">
        <f t="shared" si="5"/>
        <v>47011</v>
      </c>
      <c r="AE46" s="58">
        <f t="shared" si="6"/>
        <v>22846.107776210833</v>
      </c>
      <c r="AF46" s="58">
        <f t="shared" si="7"/>
        <v>4205808.0950741237</v>
      </c>
      <c r="AG46" s="58">
        <f t="shared" si="8"/>
        <v>11934.878995568492</v>
      </c>
      <c r="AH46" s="57"/>
      <c r="AI46" s="57"/>
      <c r="AJ46" s="58"/>
      <c r="AK46" s="58"/>
      <c r="AL46" s="58"/>
      <c r="AM46" s="58"/>
      <c r="AN46" s="58"/>
      <c r="AO46" s="57"/>
      <c r="AP46" s="57"/>
      <c r="AQ46" s="13"/>
      <c r="AR46" s="13"/>
      <c r="AS46" s="13"/>
      <c r="AT46" s="58"/>
      <c r="AU46" s="58"/>
      <c r="AV46" s="58"/>
      <c r="AW46" s="13"/>
      <c r="AX46" s="13"/>
      <c r="AY46" s="13"/>
      <c r="AZ46" s="13"/>
      <c r="BA46" s="57"/>
      <c r="BB46" s="46"/>
      <c r="BC46" s="13"/>
      <c r="BD46" s="87"/>
      <c r="BE46" s="87"/>
      <c r="BF46" s="87"/>
      <c r="BG46" s="89"/>
      <c r="BH46" s="89"/>
      <c r="BI46" s="89"/>
      <c r="BJ46" s="58"/>
      <c r="BK46" s="13"/>
      <c r="BL46" s="13"/>
      <c r="BM46" s="13"/>
      <c r="BS46" s="57">
        <v>45288</v>
      </c>
      <c r="BT46" s="64">
        <f t="shared" si="14"/>
        <v>2024</v>
      </c>
      <c r="BU46" s="58">
        <v>75000</v>
      </c>
      <c r="BV46" s="58">
        <f t="shared" si="35"/>
        <v>259000</v>
      </c>
      <c r="BW46" s="58">
        <f t="shared" si="36"/>
        <v>37.80821917808219</v>
      </c>
      <c r="BX46" s="13"/>
    </row>
    <row r="47" spans="2:76">
      <c r="B47" s="84"/>
      <c r="C47" s="2"/>
      <c r="D47" s="2"/>
      <c r="E47" s="2"/>
      <c r="F47" s="2"/>
      <c r="G47" s="2"/>
      <c r="J47" s="86"/>
      <c r="K47" s="58"/>
      <c r="L47" s="58"/>
      <c r="M47" s="58"/>
      <c r="N47" s="58"/>
      <c r="O47" s="58"/>
      <c r="P47" s="84"/>
      <c r="Q47" s="84"/>
      <c r="R47" s="57">
        <f t="shared" si="37"/>
        <v>46801</v>
      </c>
      <c r="S47" s="58">
        <f t="shared" si="18"/>
        <v>2028</v>
      </c>
      <c r="T47" s="58">
        <f t="shared" si="38"/>
        <v>2948289.4416355351</v>
      </c>
      <c r="U47" s="58">
        <f t="shared" si="39"/>
        <v>-91166</v>
      </c>
      <c r="V47" s="58">
        <f t="shared" si="19"/>
        <v>17493.184020370842</v>
      </c>
      <c r="W47" s="58">
        <f t="shared" si="20"/>
        <v>2874616.6256559058</v>
      </c>
      <c r="X47" s="58">
        <f t="shared" si="21"/>
        <v>-73672.815979629158</v>
      </c>
      <c r="Z47" s="57">
        <f t="shared" si="22"/>
        <v>47011</v>
      </c>
      <c r="AA47" s="58">
        <f t="shared" si="4"/>
        <v>2028</v>
      </c>
      <c r="AB47" s="58">
        <f t="shared" si="23"/>
        <v>4205808.0950741237</v>
      </c>
      <c r="AC47" s="58">
        <f t="shared" si="24"/>
        <v>-34780.986771779273</v>
      </c>
      <c r="AD47" s="61">
        <f t="shared" si="5"/>
        <v>47041</v>
      </c>
      <c r="AE47" s="58">
        <f t="shared" si="6"/>
        <v>22781.460514984836</v>
      </c>
      <c r="AF47" s="58">
        <f t="shared" si="7"/>
        <v>4193808.5688173296</v>
      </c>
      <c r="AG47" s="58">
        <f t="shared" si="8"/>
        <v>11999.52625679411</v>
      </c>
      <c r="AH47" s="57"/>
      <c r="AI47" s="57"/>
      <c r="AJ47" s="58"/>
      <c r="AK47" s="58"/>
      <c r="AL47" s="58"/>
      <c r="AM47" s="58"/>
      <c r="AN47" s="58"/>
      <c r="AO47" s="57"/>
      <c r="AP47" s="57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63"/>
      <c r="BB47" s="3"/>
      <c r="BC47" s="13"/>
      <c r="BD47" s="87"/>
      <c r="BE47" s="87"/>
      <c r="BF47" s="87"/>
      <c r="BG47" s="89"/>
      <c r="BH47" s="89"/>
      <c r="BI47" s="89"/>
      <c r="BJ47" s="58"/>
      <c r="BK47" s="13"/>
      <c r="BL47" s="13"/>
      <c r="BM47" s="13"/>
      <c r="BS47" s="57">
        <v>45300</v>
      </c>
      <c r="BT47" s="64">
        <f t="shared" si="14"/>
        <v>2024</v>
      </c>
      <c r="BU47" s="58">
        <v>50000</v>
      </c>
      <c r="BV47" s="58">
        <f t="shared" si="35"/>
        <v>309000</v>
      </c>
      <c r="BW47" s="58">
        <f t="shared" si="36"/>
        <v>638.63013698630141</v>
      </c>
      <c r="BX47" s="13"/>
    </row>
    <row r="48" spans="2:76">
      <c r="B48" s="84"/>
      <c r="C48" s="2"/>
      <c r="D48" s="2"/>
      <c r="E48" s="2"/>
      <c r="F48" s="2"/>
      <c r="G48" s="2"/>
      <c r="J48" s="86"/>
      <c r="K48" s="58"/>
      <c r="L48" s="58"/>
      <c r="M48" s="58"/>
      <c r="N48" s="58"/>
      <c r="O48" s="58"/>
      <c r="P48" s="84"/>
      <c r="Q48" s="84"/>
      <c r="R48" s="57">
        <f t="shared" si="37"/>
        <v>46830</v>
      </c>
      <c r="S48" s="58">
        <f t="shared" si="18"/>
        <v>2028</v>
      </c>
      <c r="T48" s="58">
        <f t="shared" si="38"/>
        <v>2874616.6256559058</v>
      </c>
      <c r="U48" s="58">
        <f t="shared" si="39"/>
        <v>-91166</v>
      </c>
      <c r="V48" s="58">
        <f t="shared" si="19"/>
        <v>17056.058645558373</v>
      </c>
      <c r="W48" s="58">
        <f t="shared" si="20"/>
        <v>2800506.6843014644</v>
      </c>
      <c r="X48" s="58">
        <f t="shared" si="21"/>
        <v>-74109.941354441631</v>
      </c>
      <c r="Z48" s="57">
        <f t="shared" si="22"/>
        <v>47041</v>
      </c>
      <c r="AA48" s="58">
        <f t="shared" si="4"/>
        <v>2028</v>
      </c>
      <c r="AB48" s="58">
        <f t="shared" si="23"/>
        <v>4193808.5688173296</v>
      </c>
      <c r="AC48" s="58">
        <f t="shared" si="24"/>
        <v>-34780.986771779273</v>
      </c>
      <c r="AD48" s="61">
        <f t="shared" si="5"/>
        <v>47072</v>
      </c>
      <c r="AE48" s="58">
        <f t="shared" si="6"/>
        <v>22716.463081093869</v>
      </c>
      <c r="AF48" s="58">
        <f t="shared" si="7"/>
        <v>4181744.0451266444</v>
      </c>
      <c r="AG48" s="58">
        <f t="shared" si="8"/>
        <v>12064.523690685164</v>
      </c>
      <c r="AH48" s="57"/>
      <c r="AI48" s="57"/>
      <c r="AJ48" s="58"/>
      <c r="AK48" s="58"/>
      <c r="AL48" s="58"/>
      <c r="AM48" s="58"/>
      <c r="AN48" s="58"/>
      <c r="AO48" s="57"/>
      <c r="AP48" s="57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63"/>
      <c r="BB48" s="3"/>
      <c r="BC48" s="13"/>
      <c r="BD48" s="87"/>
      <c r="BE48" s="87"/>
      <c r="BF48" s="87"/>
      <c r="BG48" s="89"/>
      <c r="BH48" s="89"/>
      <c r="BI48" s="89"/>
      <c r="BJ48" s="58"/>
      <c r="BK48" s="13"/>
      <c r="BL48" s="13"/>
      <c r="BM48" s="13"/>
      <c r="BS48" s="57">
        <v>45300</v>
      </c>
      <c r="BT48" s="64">
        <f t="shared" si="14"/>
        <v>2024</v>
      </c>
      <c r="BU48" s="58">
        <v>10000</v>
      </c>
      <c r="BV48" s="58">
        <f t="shared" si="35"/>
        <v>319000</v>
      </c>
      <c r="BW48" s="58">
        <f t="shared" si="36"/>
        <v>0</v>
      </c>
      <c r="BX48" s="13"/>
    </row>
    <row r="49" spans="2:76">
      <c r="B49" s="84"/>
      <c r="C49" s="2"/>
      <c r="D49" s="2"/>
      <c r="E49" s="2"/>
      <c r="F49" s="2"/>
      <c r="G49" s="2"/>
      <c r="J49" s="86"/>
      <c r="K49" s="58"/>
      <c r="L49" s="58"/>
      <c r="M49" s="58"/>
      <c r="N49" s="58"/>
      <c r="O49" s="58"/>
      <c r="P49" s="84"/>
      <c r="Q49" s="84"/>
      <c r="R49" s="57">
        <f t="shared" si="37"/>
        <v>46861</v>
      </c>
      <c r="S49" s="58">
        <f t="shared" si="18"/>
        <v>2028</v>
      </c>
      <c r="T49" s="58">
        <f t="shared" si="38"/>
        <v>2800506.6843014644</v>
      </c>
      <c r="U49" s="58">
        <f t="shared" si="39"/>
        <v>-91166</v>
      </c>
      <c r="V49" s="58">
        <f t="shared" si="19"/>
        <v>16616.339660188689</v>
      </c>
      <c r="W49" s="58">
        <f t="shared" si="20"/>
        <v>2725957.023961653</v>
      </c>
      <c r="X49" s="58">
        <f t="shared" si="21"/>
        <v>-74549.660339811307</v>
      </c>
      <c r="Z49" s="57">
        <f t="shared" si="22"/>
        <v>47072</v>
      </c>
      <c r="AA49" s="58">
        <f t="shared" si="4"/>
        <v>2028</v>
      </c>
      <c r="AB49" s="58">
        <f t="shared" si="23"/>
        <v>4181744.0451266444</v>
      </c>
      <c r="AC49" s="58">
        <f t="shared" si="24"/>
        <v>-34780.986771779273</v>
      </c>
      <c r="AD49" s="61">
        <f t="shared" si="5"/>
        <v>47102</v>
      </c>
      <c r="AE49" s="58">
        <f t="shared" si="6"/>
        <v>22651.113577769323</v>
      </c>
      <c r="AF49" s="58">
        <f t="shared" si="7"/>
        <v>4169614.1719326344</v>
      </c>
      <c r="AG49" s="58">
        <f t="shared" si="8"/>
        <v>12129.873194009997</v>
      </c>
      <c r="AH49" s="57"/>
      <c r="AI49" s="57"/>
      <c r="AJ49" s="58"/>
      <c r="AK49" s="58"/>
      <c r="AL49" s="58"/>
      <c r="AM49" s="58"/>
      <c r="AN49" s="58"/>
      <c r="AO49" s="57"/>
      <c r="AP49" s="57"/>
      <c r="AQ49" s="13"/>
      <c r="AR49" s="13"/>
      <c r="AS49" s="13"/>
      <c r="AT49" s="58"/>
      <c r="AU49" s="58"/>
      <c r="AV49" s="58"/>
      <c r="AW49" s="13"/>
      <c r="AX49" s="13"/>
      <c r="AY49" s="13"/>
      <c r="AZ49" s="13"/>
      <c r="BA49" s="63"/>
      <c r="BB49" s="3"/>
      <c r="BC49" s="13"/>
      <c r="BD49" s="87"/>
      <c r="BE49" s="87"/>
      <c r="BF49" s="87"/>
      <c r="BG49" s="89"/>
      <c r="BH49" s="89"/>
      <c r="BI49" s="89"/>
      <c r="BJ49" s="58"/>
      <c r="BK49" s="13"/>
      <c r="BL49" s="13"/>
      <c r="BM49" s="13"/>
      <c r="BS49" s="57">
        <v>45308</v>
      </c>
      <c r="BT49" s="64">
        <f t="shared" si="14"/>
        <v>2024</v>
      </c>
      <c r="BU49" s="58">
        <v>-10000</v>
      </c>
      <c r="BV49" s="58">
        <f t="shared" si="35"/>
        <v>309000</v>
      </c>
      <c r="BW49" s="58">
        <f t="shared" si="36"/>
        <v>524.38356164383561</v>
      </c>
      <c r="BX49" s="13"/>
    </row>
    <row r="50" spans="2:76">
      <c r="B50" s="84"/>
      <c r="C50" s="2"/>
      <c r="D50" s="2"/>
      <c r="E50" s="2"/>
      <c r="F50" s="2"/>
      <c r="G50" s="2"/>
      <c r="J50" s="86"/>
      <c r="K50" s="58"/>
      <c r="L50" s="58"/>
      <c r="M50" s="58"/>
      <c r="N50" s="58"/>
      <c r="O50" s="58"/>
      <c r="P50" s="84"/>
      <c r="Q50" s="84"/>
      <c r="R50" s="57">
        <f t="shared" si="37"/>
        <v>46891</v>
      </c>
      <c r="S50" s="58">
        <f t="shared" si="18"/>
        <v>2028</v>
      </c>
      <c r="T50" s="58">
        <f t="shared" si="38"/>
        <v>2725957.023961653</v>
      </c>
      <c r="U50" s="58">
        <f t="shared" si="39"/>
        <v>-91166</v>
      </c>
      <c r="V50" s="58">
        <f t="shared" si="19"/>
        <v>16174.011675505806</v>
      </c>
      <c r="W50" s="58">
        <f t="shared" si="20"/>
        <v>2650965.0356371589</v>
      </c>
      <c r="X50" s="58">
        <f t="shared" si="21"/>
        <v>-74991.988324494188</v>
      </c>
      <c r="Z50" s="57">
        <f t="shared" si="22"/>
        <v>47102</v>
      </c>
      <c r="AA50" s="58">
        <f t="shared" si="4"/>
        <v>2029</v>
      </c>
      <c r="AB50" s="58">
        <f t="shared" si="23"/>
        <v>4169614.1719326344</v>
      </c>
      <c r="AC50" s="58">
        <f t="shared" si="24"/>
        <v>-34780.986771779273</v>
      </c>
      <c r="AD50" s="61">
        <f t="shared" si="5"/>
        <v>47133</v>
      </c>
      <c r="AE50" s="58">
        <f t="shared" si="6"/>
        <v>22585.410097968437</v>
      </c>
      <c r="AF50" s="58">
        <f t="shared" si="7"/>
        <v>4157418.5952588236</v>
      </c>
      <c r="AG50" s="58">
        <f t="shared" si="8"/>
        <v>12195.576673810836</v>
      </c>
      <c r="AH50" s="57"/>
      <c r="AI50" s="57"/>
      <c r="AJ50" s="58"/>
      <c r="AK50" s="58"/>
      <c r="AL50" s="58"/>
      <c r="AM50" s="58"/>
      <c r="AN50" s="58"/>
      <c r="AO50" s="57"/>
      <c r="AP50" s="57"/>
      <c r="AQ50" s="13"/>
      <c r="AR50" s="13"/>
      <c r="AS50" s="13"/>
      <c r="AT50" s="58"/>
      <c r="AU50" s="58"/>
      <c r="AV50" s="58"/>
      <c r="AW50" s="13"/>
      <c r="AX50" s="13"/>
      <c r="AY50" s="13"/>
      <c r="AZ50" s="13"/>
      <c r="BA50" s="63"/>
      <c r="BB50" s="3"/>
      <c r="BC50" s="13"/>
      <c r="BD50" s="87"/>
      <c r="BE50" s="87"/>
      <c r="BF50" s="87"/>
      <c r="BG50" s="89"/>
      <c r="BH50" s="89"/>
      <c r="BI50" s="89"/>
      <c r="BJ50" s="58"/>
      <c r="BK50" s="13"/>
      <c r="BL50" s="13"/>
      <c r="BM50" s="13"/>
      <c r="BS50" s="57">
        <v>45315</v>
      </c>
      <c r="BT50" s="64">
        <f t="shared" si="14"/>
        <v>2024</v>
      </c>
      <c r="BU50" s="58">
        <v>100000</v>
      </c>
      <c r="BV50" s="58">
        <f t="shared" si="35"/>
        <v>409000</v>
      </c>
      <c r="BW50" s="58">
        <f t="shared" si="36"/>
        <v>444.45205479452056</v>
      </c>
      <c r="BX50" s="13"/>
    </row>
    <row r="51" spans="2:76">
      <c r="B51" s="84"/>
      <c r="C51" s="2"/>
      <c r="D51" s="2"/>
      <c r="E51" s="2"/>
      <c r="F51" s="2"/>
      <c r="G51" s="2"/>
      <c r="J51" s="86"/>
      <c r="K51" s="58"/>
      <c r="L51" s="58"/>
      <c r="M51" s="58"/>
      <c r="N51" s="58"/>
      <c r="O51" s="58"/>
      <c r="P51" s="84"/>
      <c r="Q51" s="84"/>
      <c r="R51" s="57">
        <f t="shared" si="37"/>
        <v>46922</v>
      </c>
      <c r="S51" s="58">
        <f t="shared" si="18"/>
        <v>2028</v>
      </c>
      <c r="T51" s="58">
        <f t="shared" si="38"/>
        <v>2650965.0356371589</v>
      </c>
      <c r="U51" s="58">
        <f t="shared" si="39"/>
        <v>-91166</v>
      </c>
      <c r="V51" s="58">
        <f t="shared" si="19"/>
        <v>15729.059211447144</v>
      </c>
      <c r="W51" s="58">
        <f t="shared" si="20"/>
        <v>2575528.0948486063</v>
      </c>
      <c r="X51" s="58">
        <f t="shared" si="21"/>
        <v>-75436.940788552864</v>
      </c>
      <c r="Z51" s="57">
        <f t="shared" si="22"/>
        <v>47133</v>
      </c>
      <c r="AA51" s="58">
        <f t="shared" si="4"/>
        <v>2029</v>
      </c>
      <c r="AB51" s="58">
        <f t="shared" si="23"/>
        <v>4157418.5952588236</v>
      </c>
      <c r="AC51" s="58">
        <f t="shared" si="24"/>
        <v>-34780.986771779273</v>
      </c>
      <c r="AD51" s="61">
        <f t="shared" si="5"/>
        <v>47164</v>
      </c>
      <c r="AE51" s="58">
        <f t="shared" si="6"/>
        <v>22519.350724318629</v>
      </c>
      <c r="AF51" s="58">
        <f t="shared" si="7"/>
        <v>4145156.959211363</v>
      </c>
      <c r="AG51" s="58">
        <f t="shared" si="8"/>
        <v>12261.636047460604</v>
      </c>
      <c r="AH51" s="57"/>
      <c r="AI51" s="57"/>
      <c r="AJ51" s="58"/>
      <c r="AK51" s="58"/>
      <c r="AL51" s="58"/>
      <c r="AM51" s="58"/>
      <c r="AN51" s="58"/>
      <c r="AO51" s="57"/>
      <c r="AP51" s="57"/>
      <c r="AQ51" s="13"/>
      <c r="AR51" s="13"/>
      <c r="AS51" s="13"/>
      <c r="AT51" s="58"/>
      <c r="AU51" s="58"/>
      <c r="AV51" s="58"/>
      <c r="AW51" s="13"/>
      <c r="AX51" s="13"/>
      <c r="AY51" s="13"/>
      <c r="AZ51" s="13"/>
      <c r="BA51" s="63"/>
      <c r="BB51" s="3"/>
      <c r="BC51" s="13"/>
      <c r="BD51" s="87"/>
      <c r="BE51" s="87"/>
      <c r="BF51" s="87"/>
      <c r="BG51" s="89"/>
      <c r="BH51" s="89"/>
      <c r="BI51" s="89"/>
      <c r="BJ51" s="58"/>
      <c r="BK51" s="13"/>
      <c r="BL51" s="13"/>
      <c r="BM51" s="13"/>
      <c r="BS51" s="57">
        <v>45317</v>
      </c>
      <c r="BT51" s="64">
        <f t="shared" si="14"/>
        <v>2024</v>
      </c>
      <c r="BU51" s="58">
        <v>100000</v>
      </c>
      <c r="BV51" s="58">
        <f t="shared" si="35"/>
        <v>509000</v>
      </c>
      <c r="BW51" s="58">
        <f t="shared" si="36"/>
        <v>168.08219178082192</v>
      </c>
      <c r="BX51" s="13"/>
    </row>
    <row r="52" spans="2:76">
      <c r="B52" s="84"/>
      <c r="C52" s="2"/>
      <c r="D52" s="2"/>
      <c r="E52" s="2"/>
      <c r="F52" s="2"/>
      <c r="G52" s="2"/>
      <c r="J52" s="86"/>
      <c r="K52" s="58"/>
      <c r="L52" s="58"/>
      <c r="M52" s="58"/>
      <c r="N52" s="58"/>
      <c r="O52" s="58"/>
      <c r="P52" s="84"/>
      <c r="Q52" s="84"/>
      <c r="R52" s="57">
        <f t="shared" si="37"/>
        <v>46952</v>
      </c>
      <c r="S52" s="58">
        <f t="shared" si="18"/>
        <v>2028</v>
      </c>
      <c r="T52" s="58">
        <f t="shared" si="38"/>
        <v>2575528.0948486063</v>
      </c>
      <c r="U52" s="58">
        <f t="shared" si="39"/>
        <v>-91166</v>
      </c>
      <c r="V52" s="58">
        <f t="shared" si="19"/>
        <v>15281.46669610173</v>
      </c>
      <c r="W52" s="58">
        <f t="shared" si="20"/>
        <v>2499643.561544708</v>
      </c>
      <c r="X52" s="58">
        <f t="shared" si="21"/>
        <v>-75884.533303898264</v>
      </c>
      <c r="Z52" s="57">
        <f t="shared" si="22"/>
        <v>47164</v>
      </c>
      <c r="AA52" s="58">
        <f t="shared" si="4"/>
        <v>2029</v>
      </c>
      <c r="AB52" s="58">
        <f t="shared" si="23"/>
        <v>4145156.959211363</v>
      </c>
      <c r="AC52" s="58">
        <f t="shared" si="24"/>
        <v>-34780.986771779273</v>
      </c>
      <c r="AD52" s="61">
        <f t="shared" si="5"/>
        <v>47192</v>
      </c>
      <c r="AE52" s="58">
        <f t="shared" si="6"/>
        <v>22452.933529061549</v>
      </c>
      <c r="AF52" s="58">
        <f t="shared" si="7"/>
        <v>4132828.9059686456</v>
      </c>
      <c r="AG52" s="58">
        <f t="shared" si="8"/>
        <v>12328.053242717404</v>
      </c>
      <c r="AH52" s="57"/>
      <c r="AI52" s="57"/>
      <c r="AJ52" s="58"/>
      <c r="AK52" s="58"/>
      <c r="AL52" s="58"/>
      <c r="AM52" s="58"/>
      <c r="AN52" s="58"/>
      <c r="AO52" s="57"/>
      <c r="AP52" s="57"/>
      <c r="AQ52" s="13"/>
      <c r="AR52" s="13"/>
      <c r="AS52" s="13"/>
      <c r="AT52" s="58"/>
      <c r="AU52" s="58"/>
      <c r="AV52" s="58"/>
      <c r="AW52" s="13"/>
      <c r="AX52" s="13"/>
      <c r="AY52" s="13"/>
      <c r="AZ52" s="13"/>
      <c r="BA52" s="63"/>
      <c r="BB52" s="3"/>
      <c r="BC52" s="13"/>
      <c r="BD52" s="87"/>
      <c r="BE52" s="87"/>
      <c r="BF52" s="87"/>
      <c r="BG52" s="89"/>
      <c r="BH52" s="89"/>
      <c r="BI52" s="89"/>
      <c r="BJ52" s="58"/>
      <c r="BK52" s="13"/>
      <c r="BL52" s="13"/>
      <c r="BM52" s="13"/>
      <c r="BS52" s="57">
        <v>45329</v>
      </c>
      <c r="BT52" s="64">
        <f t="shared" si="14"/>
        <v>2024</v>
      </c>
      <c r="BU52" s="58">
        <v>350000</v>
      </c>
      <c r="BV52" s="58">
        <f t="shared" si="35"/>
        <v>859000</v>
      </c>
      <c r="BW52" s="58">
        <f t="shared" si="36"/>
        <v>1255.0684931506848</v>
      </c>
      <c r="BX52" s="13"/>
    </row>
    <row r="53" spans="2:76">
      <c r="B53" s="84"/>
      <c r="C53" s="2"/>
      <c r="D53" s="2"/>
      <c r="E53" s="2"/>
      <c r="F53" s="2"/>
      <c r="G53" s="2"/>
      <c r="J53" s="86"/>
      <c r="K53" s="58"/>
      <c r="L53" s="58"/>
      <c r="M53" s="58"/>
      <c r="N53" s="58"/>
      <c r="O53" s="58"/>
      <c r="P53" s="84"/>
      <c r="Q53" s="84"/>
      <c r="R53" s="57">
        <f t="shared" si="37"/>
        <v>46983</v>
      </c>
      <c r="S53" s="58">
        <f t="shared" si="18"/>
        <v>2028</v>
      </c>
      <c r="T53" s="58">
        <f t="shared" si="38"/>
        <v>2499643.561544708</v>
      </c>
      <c r="U53" s="58">
        <f t="shared" si="39"/>
        <v>-91166</v>
      </c>
      <c r="V53" s="58">
        <f t="shared" si="19"/>
        <v>14831.218465165266</v>
      </c>
      <c r="W53" s="58">
        <f t="shared" si="20"/>
        <v>2423308.7800098732</v>
      </c>
      <c r="X53" s="58">
        <f t="shared" si="21"/>
        <v>-76334.781534834736</v>
      </c>
      <c r="Z53" s="57">
        <f t="shared" si="22"/>
        <v>47192</v>
      </c>
      <c r="AA53" s="58">
        <f t="shared" si="4"/>
        <v>2029</v>
      </c>
      <c r="AB53" s="58">
        <f t="shared" si="23"/>
        <v>4132828.9059686456</v>
      </c>
      <c r="AC53" s="58">
        <f t="shared" si="24"/>
        <v>-34780.986771779273</v>
      </c>
      <c r="AD53" s="61">
        <f t="shared" si="5"/>
        <v>47223</v>
      </c>
      <c r="AE53" s="58">
        <f t="shared" si="6"/>
        <v>22386.156573996832</v>
      </c>
      <c r="AF53" s="58">
        <f t="shared" si="7"/>
        <v>4120434.0757708633</v>
      </c>
      <c r="AG53" s="58">
        <f t="shared" si="8"/>
        <v>12394.830197782256</v>
      </c>
      <c r="AH53" s="57"/>
      <c r="AI53" s="57"/>
      <c r="AJ53" s="58"/>
      <c r="AK53" s="58"/>
      <c r="AL53" s="58"/>
      <c r="AM53" s="58"/>
      <c r="AN53" s="58"/>
      <c r="AO53" s="57"/>
      <c r="AP53" s="57"/>
      <c r="AQ53" s="13"/>
      <c r="AR53" s="13"/>
      <c r="AS53" s="13"/>
      <c r="AT53" s="58"/>
      <c r="AU53" s="58"/>
      <c r="AV53" s="58"/>
      <c r="AW53" s="13"/>
      <c r="AX53" s="13"/>
      <c r="AY53" s="13"/>
      <c r="AZ53" s="13"/>
      <c r="BA53" s="63"/>
      <c r="BB53" s="3"/>
      <c r="BC53" s="13"/>
      <c r="BD53" s="87"/>
      <c r="BE53" s="87"/>
      <c r="BF53" s="87"/>
      <c r="BG53" s="89"/>
      <c r="BH53" s="89"/>
      <c r="BI53" s="89"/>
      <c r="BJ53" s="58"/>
      <c r="BK53" s="13"/>
      <c r="BL53" s="13"/>
      <c r="BM53" s="13"/>
      <c r="BS53" s="57">
        <v>45350</v>
      </c>
      <c r="BT53" s="64">
        <f t="shared" si="14"/>
        <v>2024</v>
      </c>
      <c r="BU53" s="58">
        <v>10000</v>
      </c>
      <c r="BV53" s="58">
        <f t="shared" si="35"/>
        <v>869000</v>
      </c>
      <c r="BW53" s="58">
        <f t="shared" si="36"/>
        <v>3706.6438356164381</v>
      </c>
      <c r="BX53" s="13"/>
    </row>
    <row r="54" spans="2:76">
      <c r="B54" s="84"/>
      <c r="C54" s="2"/>
      <c r="D54" s="2"/>
      <c r="E54" s="2"/>
      <c r="F54" s="2"/>
      <c r="G54" s="2"/>
      <c r="J54" s="86"/>
      <c r="K54" s="58"/>
      <c r="L54" s="58"/>
      <c r="M54" s="58"/>
      <c r="N54" s="58"/>
      <c r="O54" s="58"/>
      <c r="P54" s="84"/>
      <c r="Q54" s="84"/>
      <c r="R54" s="57">
        <f t="shared" si="37"/>
        <v>47014</v>
      </c>
      <c r="S54" s="58">
        <f t="shared" si="18"/>
        <v>2028</v>
      </c>
      <c r="T54" s="58">
        <f t="shared" si="38"/>
        <v>2423308.7800098732</v>
      </c>
      <c r="U54" s="58">
        <f t="shared" si="39"/>
        <v>-91166</v>
      </c>
      <c r="V54" s="58">
        <f t="shared" si="19"/>
        <v>14378.298761391916</v>
      </c>
      <c r="W54" s="58">
        <f t="shared" si="20"/>
        <v>2346521.0787712652</v>
      </c>
      <c r="X54" s="58">
        <f t="shared" si="21"/>
        <v>-76787.70123860809</v>
      </c>
      <c r="Z54" s="57">
        <f t="shared" si="22"/>
        <v>47223</v>
      </c>
      <c r="AA54" s="58">
        <f t="shared" si="4"/>
        <v>2029</v>
      </c>
      <c r="AB54" s="58">
        <f t="shared" si="23"/>
        <v>4120434.0757708633</v>
      </c>
      <c r="AC54" s="58">
        <f t="shared" si="24"/>
        <v>-34780.986771779273</v>
      </c>
      <c r="AD54" s="61">
        <f t="shared" si="5"/>
        <v>47253</v>
      </c>
      <c r="AE54" s="58">
        <f t="shared" si="6"/>
        <v>22319.017910425511</v>
      </c>
      <c r="AF54" s="58">
        <f t="shared" si="7"/>
        <v>4107972.1069095097</v>
      </c>
      <c r="AG54" s="58">
        <f t="shared" si="8"/>
        <v>12461.968861353584</v>
      </c>
      <c r="AH54" s="57"/>
      <c r="AI54" s="57"/>
      <c r="AJ54" s="58"/>
      <c r="AK54" s="58"/>
      <c r="AL54" s="58"/>
      <c r="AM54" s="58"/>
      <c r="AN54" s="58"/>
      <c r="AO54" s="57"/>
      <c r="AP54" s="57"/>
      <c r="AQ54" s="13"/>
      <c r="AR54" s="13"/>
      <c r="AS54" s="13"/>
      <c r="AT54" s="58"/>
      <c r="AU54" s="58"/>
      <c r="AV54" s="58"/>
      <c r="AW54" s="13"/>
      <c r="AX54" s="13"/>
      <c r="AY54" s="13"/>
      <c r="AZ54" s="13"/>
      <c r="BA54" s="63"/>
      <c r="BB54" s="3"/>
      <c r="BC54" s="13"/>
      <c r="BD54" s="87"/>
      <c r="BE54" s="87"/>
      <c r="BF54" s="87"/>
      <c r="BG54" s="89"/>
      <c r="BH54" s="89"/>
      <c r="BI54" s="89"/>
      <c r="BJ54" s="58"/>
      <c r="BK54" s="13"/>
      <c r="BL54" s="13"/>
      <c r="BM54" s="13"/>
      <c r="BS54" s="57">
        <v>45364</v>
      </c>
      <c r="BT54" s="64">
        <f t="shared" si="14"/>
        <v>2024</v>
      </c>
      <c r="BU54" s="58">
        <v>-50000</v>
      </c>
      <c r="BV54" s="58">
        <f t="shared" si="35"/>
        <v>819000</v>
      </c>
      <c r="BW54" s="58">
        <f t="shared" si="36"/>
        <v>2499.8630136986303</v>
      </c>
      <c r="BX54" s="13"/>
    </row>
    <row r="55" spans="2:76">
      <c r="B55" s="84"/>
      <c r="C55" s="2"/>
      <c r="D55" s="2"/>
      <c r="E55" s="2"/>
      <c r="F55" s="2"/>
      <c r="G55" s="2"/>
      <c r="J55" s="86"/>
      <c r="K55" s="58"/>
      <c r="L55" s="58"/>
      <c r="M55" s="58"/>
      <c r="N55" s="58"/>
      <c r="O55" s="58"/>
      <c r="P55" s="84"/>
      <c r="Q55" s="84"/>
      <c r="R55" s="57">
        <f t="shared" si="37"/>
        <v>47044</v>
      </c>
      <c r="S55" s="58">
        <f t="shared" si="18"/>
        <v>2028</v>
      </c>
      <c r="T55" s="58">
        <f t="shared" si="38"/>
        <v>2346521.0787712652</v>
      </c>
      <c r="U55" s="58">
        <f t="shared" si="39"/>
        <v>-91166</v>
      </c>
      <c r="V55" s="58">
        <f t="shared" si="19"/>
        <v>13922.691734042841</v>
      </c>
      <c r="W55" s="58">
        <f t="shared" si="20"/>
        <v>2269277.7705053082</v>
      </c>
      <c r="X55" s="58">
        <f t="shared" si="21"/>
        <v>-77243.308265957166</v>
      </c>
      <c r="Z55" s="57">
        <f t="shared" si="22"/>
        <v>47253</v>
      </c>
      <c r="AA55" s="58">
        <f t="shared" si="4"/>
        <v>2029</v>
      </c>
      <c r="AB55" s="58">
        <f t="shared" si="23"/>
        <v>4107972.1069095097</v>
      </c>
      <c r="AC55" s="58">
        <f t="shared" si="24"/>
        <v>-34780.986771779273</v>
      </c>
      <c r="AD55" s="61">
        <f t="shared" si="5"/>
        <v>47284</v>
      </c>
      <c r="AE55" s="58">
        <f t="shared" si="6"/>
        <v>22251.515579093179</v>
      </c>
      <c r="AF55" s="58">
        <f t="shared" si="7"/>
        <v>4095442.6357168239</v>
      </c>
      <c r="AG55" s="58">
        <f t="shared" si="8"/>
        <v>12529.471192685887</v>
      </c>
      <c r="AH55" s="57"/>
      <c r="AI55" s="57"/>
      <c r="AJ55" s="58"/>
      <c r="AK55" s="58"/>
      <c r="AL55" s="58"/>
      <c r="AM55" s="58"/>
      <c r="AN55" s="58"/>
      <c r="AO55" s="57"/>
      <c r="AP55" s="57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63"/>
      <c r="BB55" s="3"/>
      <c r="BC55" s="13"/>
      <c r="BD55" s="87"/>
      <c r="BE55" s="87"/>
      <c r="BF55" s="87"/>
      <c r="BG55" s="89"/>
      <c r="BH55" s="89"/>
      <c r="BI55" s="89"/>
      <c r="BJ55" s="58"/>
      <c r="BK55" s="13"/>
      <c r="BL55" s="13"/>
      <c r="BM55" s="13"/>
      <c r="BS55" s="57">
        <v>45365</v>
      </c>
      <c r="BT55" s="64">
        <f t="shared" si="14"/>
        <v>2024</v>
      </c>
      <c r="BU55" s="58">
        <v>25000</v>
      </c>
      <c r="BV55" s="58">
        <f t="shared" si="35"/>
        <v>844000</v>
      </c>
      <c r="BW55" s="58">
        <f t="shared" si="36"/>
        <v>168.2876712328767</v>
      </c>
      <c r="BX55" s="13"/>
    </row>
    <row r="56" spans="2:76">
      <c r="B56" s="84"/>
      <c r="C56" s="2"/>
      <c r="D56" s="2"/>
      <c r="E56" s="2"/>
      <c r="F56" s="2"/>
      <c r="G56" s="2"/>
      <c r="J56" s="86"/>
      <c r="K56" s="58"/>
      <c r="L56" s="58"/>
      <c r="M56" s="58"/>
      <c r="N56" s="58"/>
      <c r="O56" s="58"/>
      <c r="P56" s="84"/>
      <c r="Q56" s="84"/>
      <c r="R56" s="57">
        <f t="shared" si="37"/>
        <v>47075</v>
      </c>
      <c r="S56" s="58">
        <f t="shared" si="18"/>
        <v>2028</v>
      </c>
      <c r="T56" s="58">
        <f t="shared" si="38"/>
        <v>2269277.7705053082</v>
      </c>
      <c r="U56" s="58">
        <f t="shared" si="39"/>
        <v>-91166</v>
      </c>
      <c r="V56" s="58">
        <f t="shared" si="19"/>
        <v>13464.381438331495</v>
      </c>
      <c r="W56" s="58">
        <f t="shared" si="20"/>
        <v>2191576.1519436399</v>
      </c>
      <c r="X56" s="58">
        <f t="shared" si="21"/>
        <v>-77701.618561668511</v>
      </c>
      <c r="Z56" s="57">
        <f t="shared" si="22"/>
        <v>47284</v>
      </c>
      <c r="AA56" s="58">
        <f t="shared" si="4"/>
        <v>2029</v>
      </c>
      <c r="AB56" s="58">
        <f t="shared" si="23"/>
        <v>4095442.6357168239</v>
      </c>
      <c r="AC56" s="58">
        <f t="shared" si="24"/>
        <v>-34780.986771779273</v>
      </c>
      <c r="AD56" s="61">
        <f t="shared" si="5"/>
        <v>47314</v>
      </c>
      <c r="AE56" s="58">
        <f t="shared" si="6"/>
        <v>22183.647610132797</v>
      </c>
      <c r="AF56" s="58">
        <f t="shared" si="7"/>
        <v>4082845.2965551773</v>
      </c>
      <c r="AG56" s="58">
        <f t="shared" si="8"/>
        <v>12597.339161646552</v>
      </c>
      <c r="AH56" s="57"/>
      <c r="AI56" s="57"/>
      <c r="AJ56" s="58"/>
      <c r="AK56" s="58"/>
      <c r="AL56" s="58"/>
      <c r="AM56" s="58"/>
      <c r="AN56" s="58"/>
      <c r="AO56" s="57"/>
      <c r="AP56" s="57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63"/>
      <c r="BB56" s="3"/>
      <c r="BC56" s="14"/>
      <c r="BD56" s="87"/>
      <c r="BE56" s="87"/>
      <c r="BF56" s="87"/>
      <c r="BG56" s="89"/>
      <c r="BH56" s="89"/>
      <c r="BI56" s="89"/>
      <c r="BJ56" s="58"/>
      <c r="BK56" s="13"/>
      <c r="BL56" s="13"/>
      <c r="BM56" s="13"/>
      <c r="BS56" s="57">
        <v>45365</v>
      </c>
      <c r="BT56" s="64">
        <f t="shared" si="14"/>
        <v>2024</v>
      </c>
      <c r="BU56" s="58">
        <v>-20000</v>
      </c>
      <c r="BV56" s="58">
        <f t="shared" si="35"/>
        <v>824000</v>
      </c>
      <c r="BW56" s="58">
        <f t="shared" si="36"/>
        <v>0</v>
      </c>
      <c r="BX56" s="13"/>
    </row>
    <row r="57" spans="2:76">
      <c r="B57" s="84"/>
      <c r="C57" s="2"/>
      <c r="D57" s="2"/>
      <c r="E57" s="2"/>
      <c r="F57" s="2"/>
      <c r="G57" s="2"/>
      <c r="J57" s="86"/>
      <c r="K57" s="58"/>
      <c r="L57" s="58"/>
      <c r="M57" s="58"/>
      <c r="N57" s="58"/>
      <c r="O57" s="58"/>
      <c r="P57" s="84"/>
      <c r="Q57" s="84"/>
      <c r="R57" s="57">
        <f t="shared" si="37"/>
        <v>47105</v>
      </c>
      <c r="S57" s="58">
        <f t="shared" si="18"/>
        <v>2029</v>
      </c>
      <c r="T57" s="58">
        <f t="shared" si="38"/>
        <v>2191576.1519436399</v>
      </c>
      <c r="U57" s="58">
        <f t="shared" si="39"/>
        <v>-91166</v>
      </c>
      <c r="V57" s="58">
        <f t="shared" si="19"/>
        <v>13003.351834865598</v>
      </c>
      <c r="W57" s="58">
        <f t="shared" si="20"/>
        <v>2113413.5037785056</v>
      </c>
      <c r="X57" s="58">
        <f t="shared" si="21"/>
        <v>-78162.648165134407</v>
      </c>
      <c r="Z57" s="57">
        <f t="shared" si="22"/>
        <v>47314</v>
      </c>
      <c r="AA57" s="58">
        <f t="shared" si="4"/>
        <v>2029</v>
      </c>
      <c r="AB57" s="58">
        <f t="shared" si="23"/>
        <v>4082845.2965551773</v>
      </c>
      <c r="AC57" s="58">
        <f t="shared" si="24"/>
        <v>-34780.986771779273</v>
      </c>
      <c r="AD57" s="61">
        <f t="shared" si="5"/>
        <v>47345</v>
      </c>
      <c r="AE57" s="58">
        <f t="shared" si="6"/>
        <v>22115.412023007211</v>
      </c>
      <c r="AF57" s="58">
        <f t="shared" si="7"/>
        <v>4070179.7218064056</v>
      </c>
      <c r="AG57" s="58">
        <f t="shared" si="8"/>
        <v>12665.574748771731</v>
      </c>
      <c r="AH57" s="57"/>
      <c r="AI57" s="57"/>
      <c r="AJ57" s="58"/>
      <c r="AK57" s="58"/>
      <c r="AL57" s="58"/>
      <c r="AM57" s="58"/>
      <c r="AN57" s="58"/>
      <c r="AO57" s="57"/>
      <c r="AP57" s="57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C57" s="13"/>
      <c r="BD57" s="87"/>
      <c r="BE57" s="87"/>
      <c r="BF57" s="87"/>
      <c r="BG57" s="89"/>
      <c r="BH57" s="89"/>
      <c r="BI57" s="89"/>
      <c r="BJ57" s="58"/>
      <c r="BK57" s="13"/>
      <c r="BL57" s="13"/>
      <c r="BM57" s="13"/>
      <c r="BS57" s="57">
        <v>45441</v>
      </c>
      <c r="BT57" s="64">
        <f t="shared" si="14"/>
        <v>2024</v>
      </c>
      <c r="BU57" s="58">
        <v>689</v>
      </c>
      <c r="BV57" s="58">
        <f t="shared" si="35"/>
        <v>824689</v>
      </c>
      <c r="BW57" s="58">
        <f t="shared" si="36"/>
        <v>12867.945205479453</v>
      </c>
      <c r="BX57" s="13"/>
    </row>
    <row r="58" spans="2:76">
      <c r="B58" s="84"/>
      <c r="C58" s="2"/>
      <c r="D58" s="2"/>
      <c r="E58" s="2"/>
      <c r="F58" s="2"/>
      <c r="G58" s="2"/>
      <c r="J58" s="86"/>
      <c r="K58" s="58"/>
      <c r="L58" s="58"/>
      <c r="M58" s="58"/>
      <c r="N58" s="58"/>
      <c r="O58" s="58"/>
      <c r="P58" s="84"/>
      <c r="Q58" s="84"/>
      <c r="R58" s="57">
        <f t="shared" si="37"/>
        <v>47136</v>
      </c>
      <c r="S58" s="58">
        <f t="shared" si="18"/>
        <v>2029</v>
      </c>
      <c r="T58" s="58">
        <f t="shared" si="38"/>
        <v>2113413.5037785056</v>
      </c>
      <c r="U58" s="58">
        <f t="shared" si="39"/>
        <v>-91166</v>
      </c>
      <c r="V58" s="58">
        <f t="shared" si="19"/>
        <v>12539.586789085799</v>
      </c>
      <c r="W58" s="58">
        <f t="shared" si="20"/>
        <v>2034787.0905675914</v>
      </c>
      <c r="X58" s="58">
        <f t="shared" si="21"/>
        <v>-78626.413210914208</v>
      </c>
      <c r="Z58" s="57">
        <f t="shared" si="22"/>
        <v>47345</v>
      </c>
      <c r="AA58" s="58">
        <f t="shared" si="4"/>
        <v>2029</v>
      </c>
      <c r="AB58" s="58">
        <f t="shared" si="23"/>
        <v>4070179.7218064056</v>
      </c>
      <c r="AC58" s="58">
        <f t="shared" si="24"/>
        <v>-34780.986771779273</v>
      </c>
      <c r="AD58" s="61">
        <f t="shared" si="5"/>
        <v>47376</v>
      </c>
      <c r="AE58" s="58">
        <f t="shared" si="6"/>
        <v>22046.806826451364</v>
      </c>
      <c r="AF58" s="58">
        <f t="shared" si="7"/>
        <v>4057445.5418610778</v>
      </c>
      <c r="AG58" s="58">
        <f t="shared" si="8"/>
        <v>12734.179945327807</v>
      </c>
      <c r="AH58" s="57"/>
      <c r="AI58" s="57"/>
      <c r="AJ58" s="58"/>
      <c r="AK58" s="58"/>
      <c r="AL58" s="58"/>
      <c r="AM58" s="58"/>
      <c r="AN58" s="58"/>
      <c r="AO58" s="57"/>
      <c r="AP58" s="57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C58" s="13"/>
      <c r="BD58" s="87"/>
      <c r="BE58" s="87"/>
      <c r="BF58" s="87"/>
      <c r="BG58" s="89"/>
      <c r="BH58" s="89"/>
      <c r="BI58" s="89"/>
      <c r="BJ58" s="58"/>
      <c r="BK58" s="13"/>
      <c r="BL58" s="13"/>
      <c r="BM58" s="13"/>
      <c r="BS58" s="57">
        <v>45455</v>
      </c>
      <c r="BT58" s="64">
        <f t="shared" si="14"/>
        <v>2024</v>
      </c>
      <c r="BU58" s="58">
        <v>40000</v>
      </c>
      <c r="BV58" s="58">
        <f t="shared" si="35"/>
        <v>864689</v>
      </c>
      <c r="BW58" s="58">
        <f t="shared" si="36"/>
        <v>2372.3930136986301</v>
      </c>
      <c r="BX58" s="13"/>
    </row>
    <row r="59" spans="2:76">
      <c r="B59" s="84"/>
      <c r="C59" s="2"/>
      <c r="D59" s="2"/>
      <c r="E59" s="2"/>
      <c r="F59" s="2"/>
      <c r="G59" s="2"/>
      <c r="J59" s="86"/>
      <c r="K59" s="58"/>
      <c r="L59" s="58"/>
      <c r="M59" s="58"/>
      <c r="N59" s="58"/>
      <c r="O59" s="58"/>
      <c r="P59" s="84"/>
      <c r="Q59" s="84"/>
      <c r="R59" s="57">
        <f t="shared" si="37"/>
        <v>47167</v>
      </c>
      <c r="S59" s="58">
        <f t="shared" si="18"/>
        <v>2029</v>
      </c>
      <c r="T59" s="58">
        <f t="shared" si="38"/>
        <v>2034787.0905675914</v>
      </c>
      <c r="U59" s="58">
        <f t="shared" si="39"/>
        <v>-91166</v>
      </c>
      <c r="V59" s="58">
        <f t="shared" si="19"/>
        <v>12073.070070701042</v>
      </c>
      <c r="W59" s="58">
        <f t="shared" si="20"/>
        <v>1955694.1606382923</v>
      </c>
      <c r="X59" s="58">
        <f t="shared" si="21"/>
        <v>-79092.92992929896</v>
      </c>
      <c r="Z59" s="57">
        <f t="shared" si="22"/>
        <v>47376</v>
      </c>
      <c r="AA59" s="58">
        <f t="shared" si="4"/>
        <v>2029</v>
      </c>
      <c r="AB59" s="58">
        <f t="shared" si="23"/>
        <v>4057445.5418610778</v>
      </c>
      <c r="AC59" s="58">
        <f t="shared" si="24"/>
        <v>-34780.986771779273</v>
      </c>
      <c r="AD59" s="61">
        <f t="shared" si="5"/>
        <v>47406</v>
      </c>
      <c r="AE59" s="58">
        <f t="shared" si="6"/>
        <v>21977.830018414174</v>
      </c>
      <c r="AF59" s="58">
        <f t="shared" si="7"/>
        <v>4044642.3851077128</v>
      </c>
      <c r="AG59" s="58">
        <f t="shared" si="8"/>
        <v>12803.15675336495</v>
      </c>
      <c r="AH59" s="57"/>
      <c r="AI59" s="57"/>
      <c r="AJ59" s="58"/>
      <c r="AK59" s="58"/>
      <c r="AL59" s="58"/>
      <c r="AM59" s="58"/>
      <c r="AN59" s="58"/>
      <c r="AO59" s="57"/>
      <c r="AP59" s="57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87"/>
      <c r="BE59" s="87"/>
      <c r="BF59" s="87"/>
      <c r="BG59" s="89"/>
      <c r="BH59" s="89"/>
      <c r="BI59" s="89"/>
      <c r="BJ59" s="58"/>
      <c r="BK59" s="13"/>
      <c r="BL59" s="13"/>
      <c r="BM59" s="13"/>
      <c r="BS59" s="57">
        <v>45469</v>
      </c>
      <c r="BT59" s="64">
        <f t="shared" si="14"/>
        <v>2024</v>
      </c>
      <c r="BU59" s="58">
        <v>140000</v>
      </c>
      <c r="BV59" s="58">
        <f t="shared" si="35"/>
        <v>1004689</v>
      </c>
      <c r="BW59" s="58">
        <f t="shared" si="36"/>
        <v>2487.4615068493149</v>
      </c>
      <c r="BX59" s="13"/>
    </row>
    <row r="60" spans="2:76">
      <c r="B60" s="84"/>
      <c r="C60" s="2"/>
      <c r="D60" s="2"/>
      <c r="E60" s="2"/>
      <c r="F60" s="2"/>
      <c r="G60" s="2"/>
      <c r="J60" s="86"/>
      <c r="K60" s="58"/>
      <c r="L60" s="58"/>
      <c r="M60" s="58"/>
      <c r="N60" s="58"/>
      <c r="O60" s="58"/>
      <c r="P60" s="84"/>
      <c r="Q60" s="84"/>
      <c r="R60" s="57">
        <f t="shared" si="37"/>
        <v>47195</v>
      </c>
      <c r="S60" s="58">
        <f t="shared" si="18"/>
        <v>2029</v>
      </c>
      <c r="T60" s="58">
        <f t="shared" si="38"/>
        <v>1955694.1606382923</v>
      </c>
      <c r="U60" s="58">
        <f t="shared" si="39"/>
        <v>-91166</v>
      </c>
      <c r="V60" s="58">
        <f t="shared" si="19"/>
        <v>11603.785353120535</v>
      </c>
      <c r="W60" s="58">
        <f t="shared" si="20"/>
        <v>1876131.945991413</v>
      </c>
      <c r="X60" s="58">
        <f t="shared" si="21"/>
        <v>-79562.214646879467</v>
      </c>
      <c r="Z60" s="57">
        <f t="shared" si="22"/>
        <v>47406</v>
      </c>
      <c r="AA60" s="58">
        <f t="shared" si="4"/>
        <v>2029</v>
      </c>
      <c r="AB60" s="58">
        <f t="shared" si="23"/>
        <v>4044642.3851077128</v>
      </c>
      <c r="AC60" s="58">
        <f t="shared" si="24"/>
        <v>-34780.986771779273</v>
      </c>
      <c r="AD60" s="61">
        <f t="shared" si="5"/>
        <v>47437</v>
      </c>
      <c r="AE60" s="58">
        <f t="shared" si="6"/>
        <v>21908.47958600011</v>
      </c>
      <c r="AF60" s="58">
        <f t="shared" si="7"/>
        <v>4031769.8779219338</v>
      </c>
      <c r="AG60" s="58">
        <f t="shared" si="8"/>
        <v>12872.507185779046</v>
      </c>
      <c r="AH60" s="57"/>
      <c r="AI60" s="57"/>
      <c r="AJ60" s="58"/>
      <c r="AK60" s="58"/>
      <c r="AL60" s="58"/>
      <c r="AM60" s="58"/>
      <c r="AN60" s="58"/>
      <c r="AO60" s="57"/>
      <c r="AP60" s="57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13"/>
      <c r="BB60" s="13"/>
      <c r="BC60" s="13"/>
      <c r="BD60" s="90"/>
      <c r="BE60" s="90"/>
      <c r="BF60" s="90"/>
      <c r="BG60" s="89"/>
      <c r="BH60" s="89"/>
      <c r="BI60" s="89"/>
      <c r="BJ60" s="58"/>
      <c r="BK60" s="13"/>
      <c r="BL60" s="13"/>
      <c r="BM60" s="44"/>
      <c r="BS60" s="57">
        <v>45471</v>
      </c>
      <c r="BT60" s="64">
        <f t="shared" si="14"/>
        <v>2024</v>
      </c>
      <c r="BU60" s="58">
        <v>25000</v>
      </c>
      <c r="BV60" s="58">
        <f t="shared" si="35"/>
        <v>1029689</v>
      </c>
      <c r="BW60" s="58">
        <f t="shared" si="36"/>
        <v>412.88589041095889</v>
      </c>
      <c r="BX60" s="44"/>
    </row>
    <row r="61" spans="2:76">
      <c r="B61" s="84"/>
      <c r="C61" s="2"/>
      <c r="D61" s="2"/>
      <c r="E61" s="2"/>
      <c r="F61" s="2"/>
      <c r="G61" s="2"/>
      <c r="J61" s="86"/>
      <c r="K61" s="58"/>
      <c r="L61" s="58"/>
      <c r="M61" s="58"/>
      <c r="N61" s="58"/>
      <c r="O61" s="58"/>
      <c r="P61" s="84"/>
      <c r="Q61" s="84"/>
      <c r="R61" s="57">
        <f t="shared" si="37"/>
        <v>47226</v>
      </c>
      <c r="S61" s="58">
        <f t="shared" si="18"/>
        <v>2029</v>
      </c>
      <c r="T61" s="58">
        <f t="shared" si="38"/>
        <v>1876131.945991413</v>
      </c>
      <c r="U61" s="58">
        <f t="shared" si="39"/>
        <v>-91166</v>
      </c>
      <c r="V61" s="58">
        <f t="shared" si="19"/>
        <v>11131.716212882384</v>
      </c>
      <c r="W61" s="58">
        <f t="shared" si="20"/>
        <v>1796097.6622042954</v>
      </c>
      <c r="X61" s="58">
        <f t="shared" si="21"/>
        <v>-80034.283787117616</v>
      </c>
      <c r="Z61" s="57">
        <f t="shared" si="22"/>
        <v>47437</v>
      </c>
      <c r="AA61" s="58">
        <f t="shared" si="4"/>
        <v>2029</v>
      </c>
      <c r="AB61" s="58">
        <f t="shared" si="23"/>
        <v>4031769.8779219338</v>
      </c>
      <c r="AC61" s="58">
        <f t="shared" si="24"/>
        <v>-34780.986771779273</v>
      </c>
      <c r="AD61" s="61">
        <f t="shared" si="5"/>
        <v>47467</v>
      </c>
      <c r="AE61" s="58">
        <f t="shared" si="6"/>
        <v>21838.753505410474</v>
      </c>
      <c r="AF61" s="58">
        <f t="shared" si="7"/>
        <v>4018827.6446555653</v>
      </c>
      <c r="AG61" s="58">
        <f t="shared" si="8"/>
        <v>12942.233266368508</v>
      </c>
      <c r="AH61" s="57"/>
      <c r="AI61" s="57"/>
      <c r="AJ61" s="58"/>
      <c r="AK61" s="58"/>
      <c r="AL61" s="58"/>
      <c r="AM61" s="58"/>
      <c r="AN61" s="58"/>
      <c r="AO61" s="57"/>
      <c r="AP61" s="57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90"/>
      <c r="BE61" s="90"/>
      <c r="BF61" s="90"/>
      <c r="BG61" s="89"/>
      <c r="BH61" s="89"/>
      <c r="BI61" s="89"/>
      <c r="BJ61" s="58"/>
      <c r="BK61" s="13"/>
      <c r="BL61" s="13"/>
      <c r="BM61" s="13"/>
      <c r="BS61" s="57">
        <v>45484</v>
      </c>
      <c r="BT61" s="64">
        <f t="shared" si="14"/>
        <v>2024</v>
      </c>
      <c r="BU61" s="58">
        <v>-150000</v>
      </c>
      <c r="BV61" s="58">
        <f t="shared" si="35"/>
        <v>879689</v>
      </c>
      <c r="BW61" s="58">
        <f t="shared" si="36"/>
        <v>2750.5391095890409</v>
      </c>
      <c r="BX61" s="13"/>
    </row>
    <row r="62" spans="2:76">
      <c r="B62" s="84"/>
      <c r="C62" s="2"/>
      <c r="D62" s="2"/>
      <c r="E62" s="2"/>
      <c r="F62" s="2"/>
      <c r="G62" s="2"/>
      <c r="J62" s="86"/>
      <c r="K62" s="58"/>
      <c r="L62" s="58"/>
      <c r="M62" s="58"/>
      <c r="N62" s="58"/>
      <c r="O62" s="58"/>
      <c r="P62" s="84"/>
      <c r="Q62" s="84"/>
      <c r="R62" s="57">
        <f t="shared" si="37"/>
        <v>47256</v>
      </c>
      <c r="S62" s="58">
        <f t="shared" si="18"/>
        <v>2029</v>
      </c>
      <c r="T62" s="58">
        <f t="shared" si="38"/>
        <v>1796097.6622042954</v>
      </c>
      <c r="U62" s="58">
        <f t="shared" si="39"/>
        <v>-91166</v>
      </c>
      <c r="V62" s="58">
        <f t="shared" si="19"/>
        <v>10656.84612907882</v>
      </c>
      <c r="W62" s="58">
        <f t="shared" si="20"/>
        <v>1715588.5083333743</v>
      </c>
      <c r="X62" s="58">
        <f t="shared" si="21"/>
        <v>-80509.153870921175</v>
      </c>
      <c r="Z62" s="57">
        <f t="shared" si="22"/>
        <v>47467</v>
      </c>
      <c r="AA62" s="58">
        <f t="shared" si="4"/>
        <v>2030</v>
      </c>
      <c r="AB62" s="58">
        <f t="shared" si="23"/>
        <v>4018827.6446555653</v>
      </c>
      <c r="AC62" s="58">
        <f t="shared" si="24"/>
        <v>-34780.986771779273</v>
      </c>
      <c r="AD62" s="61">
        <f t="shared" si="5"/>
        <v>47498</v>
      </c>
      <c r="AE62" s="58">
        <f t="shared" si="6"/>
        <v>21768.649741884314</v>
      </c>
      <c r="AF62" s="58">
        <f t="shared" si="7"/>
        <v>4005815.3076256705</v>
      </c>
      <c r="AG62" s="58">
        <f t="shared" si="8"/>
        <v>13012.337029894814</v>
      </c>
      <c r="AH62" s="57"/>
      <c r="AI62" s="57"/>
      <c r="AJ62" s="58"/>
      <c r="AK62" s="58"/>
      <c r="AL62" s="58"/>
      <c r="AM62" s="58"/>
      <c r="AN62" s="58"/>
      <c r="AO62" s="57"/>
      <c r="AP62" s="57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87"/>
      <c r="BE62" s="87"/>
      <c r="BF62" s="87"/>
      <c r="BG62" s="89"/>
      <c r="BH62" s="89"/>
      <c r="BI62" s="89"/>
      <c r="BJ62" s="58"/>
      <c r="BK62" s="13"/>
      <c r="BL62" s="13"/>
      <c r="BM62" s="13"/>
      <c r="BS62" s="57">
        <v>45490</v>
      </c>
      <c r="BT62" s="64">
        <f t="shared" si="14"/>
        <v>2024</v>
      </c>
      <c r="BU62" s="58">
        <v>-150000</v>
      </c>
      <c r="BV62" s="58">
        <f t="shared" si="35"/>
        <v>729689</v>
      </c>
      <c r="BW62" s="58">
        <f t="shared" si="36"/>
        <v>1084.5480821917808</v>
      </c>
      <c r="BX62" s="13"/>
    </row>
    <row r="63" spans="2:76">
      <c r="B63" s="84"/>
      <c r="C63" s="2"/>
      <c r="D63" s="2"/>
      <c r="E63" s="2"/>
      <c r="F63" s="2"/>
      <c r="G63" s="2"/>
      <c r="J63" s="86"/>
      <c r="K63" s="58"/>
      <c r="L63" s="58"/>
      <c r="M63" s="58"/>
      <c r="N63" s="58"/>
      <c r="O63" s="58"/>
      <c r="P63" s="84"/>
      <c r="Q63" s="84"/>
      <c r="R63" s="57">
        <f t="shared" si="37"/>
        <v>47287</v>
      </c>
      <c r="S63" s="58">
        <f t="shared" si="18"/>
        <v>2029</v>
      </c>
      <c r="T63" s="58">
        <f t="shared" si="38"/>
        <v>1715588.5083333743</v>
      </c>
      <c r="U63" s="58">
        <f t="shared" si="39"/>
        <v>-91166</v>
      </c>
      <c r="V63" s="58">
        <f t="shared" si="19"/>
        <v>10179.158482778021</v>
      </c>
      <c r="W63" s="58">
        <f t="shared" si="20"/>
        <v>1634601.6668161524</v>
      </c>
      <c r="X63" s="58">
        <f t="shared" si="21"/>
        <v>-80986.841517221983</v>
      </c>
      <c r="Z63" s="57">
        <f t="shared" si="22"/>
        <v>47498</v>
      </c>
      <c r="AA63" s="58">
        <f t="shared" si="4"/>
        <v>2030</v>
      </c>
      <c r="AB63" s="58">
        <f t="shared" si="23"/>
        <v>4005815.3076256705</v>
      </c>
      <c r="AC63" s="58">
        <f t="shared" si="24"/>
        <v>-34780.986771779273</v>
      </c>
      <c r="AD63" s="61">
        <f t="shared" si="5"/>
        <v>47529</v>
      </c>
      <c r="AE63" s="58">
        <f t="shared" si="6"/>
        <v>21698.166249639049</v>
      </c>
      <c r="AF63" s="58">
        <f t="shared" si="7"/>
        <v>3992732.4871035302</v>
      </c>
      <c r="AG63" s="58">
        <f t="shared" si="8"/>
        <v>13082.820522140246</v>
      </c>
      <c r="AH63" s="57"/>
      <c r="AI63" s="57"/>
      <c r="AJ63" s="58"/>
      <c r="AK63" s="58"/>
      <c r="AL63" s="58"/>
      <c r="AM63" s="58"/>
      <c r="AN63" s="58"/>
      <c r="AO63" s="57"/>
      <c r="AP63" s="57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90"/>
      <c r="BE63" s="90"/>
      <c r="BF63" s="90"/>
      <c r="BG63" s="89"/>
      <c r="BH63" s="89"/>
      <c r="BI63" s="89"/>
      <c r="BJ63" s="58"/>
      <c r="BK63" s="13"/>
      <c r="BL63" s="13"/>
      <c r="BM63" s="13"/>
      <c r="BS63" s="57">
        <v>45541</v>
      </c>
      <c r="BT63" s="64">
        <f t="shared" si="14"/>
        <v>2024</v>
      </c>
      <c r="BU63" s="58">
        <v>-137485.9</v>
      </c>
      <c r="BV63" s="58">
        <f t="shared" si="35"/>
        <v>592203.1</v>
      </c>
      <c r="BW63" s="58">
        <f t="shared" si="36"/>
        <v>7646.7408904109579</v>
      </c>
      <c r="BX63" s="13"/>
    </row>
    <row r="64" spans="2:76">
      <c r="B64" s="84"/>
      <c r="C64" s="2"/>
      <c r="D64" s="2"/>
      <c r="E64" s="2"/>
      <c r="F64" s="2"/>
      <c r="G64" s="2"/>
      <c r="J64" s="86"/>
      <c r="K64" s="58"/>
      <c r="L64" s="58"/>
      <c r="M64" s="58"/>
      <c r="N64" s="58"/>
      <c r="O64" s="58"/>
      <c r="P64" s="84"/>
      <c r="Q64" s="84"/>
      <c r="R64" s="57">
        <f t="shared" si="37"/>
        <v>47317</v>
      </c>
      <c r="S64" s="58">
        <f t="shared" si="18"/>
        <v>2029</v>
      </c>
      <c r="T64" s="58">
        <f t="shared" si="38"/>
        <v>1634601.6668161524</v>
      </c>
      <c r="U64" s="58">
        <f t="shared" si="39"/>
        <v>-91166</v>
      </c>
      <c r="V64" s="58">
        <f t="shared" si="19"/>
        <v>9698.636556442505</v>
      </c>
      <c r="W64" s="58">
        <f t="shared" si="20"/>
        <v>1553134.303372595</v>
      </c>
      <c r="X64" s="58">
        <f t="shared" si="21"/>
        <v>-81467.363443557493</v>
      </c>
      <c r="Z64" s="57">
        <f t="shared" si="22"/>
        <v>47529</v>
      </c>
      <c r="AA64" s="58">
        <f t="shared" si="4"/>
        <v>2030</v>
      </c>
      <c r="AB64" s="58">
        <f t="shared" si="23"/>
        <v>3992732.4871035302</v>
      </c>
      <c r="AC64" s="58">
        <f t="shared" si="24"/>
        <v>-34780.986771779273</v>
      </c>
      <c r="AD64" s="61">
        <f t="shared" si="5"/>
        <v>47557</v>
      </c>
      <c r="AE64" s="58">
        <f t="shared" si="6"/>
        <v>21627.30097181079</v>
      </c>
      <c r="AF64" s="58">
        <f t="shared" si="7"/>
        <v>3979578.8013035618</v>
      </c>
      <c r="AG64" s="58">
        <f t="shared" si="8"/>
        <v>13153.685799968429</v>
      </c>
      <c r="AH64" s="57"/>
      <c r="AI64" s="57"/>
      <c r="AJ64" s="58"/>
      <c r="AK64" s="58"/>
      <c r="AL64" s="58"/>
      <c r="AM64" s="58"/>
      <c r="AN64" s="58"/>
      <c r="AO64" s="57"/>
      <c r="AP64" s="57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87"/>
      <c r="BE64" s="87"/>
      <c r="BF64" s="87"/>
      <c r="BG64" s="89"/>
      <c r="BH64" s="89"/>
      <c r="BI64" s="89"/>
      <c r="BJ64" s="58"/>
      <c r="BK64" s="44"/>
      <c r="BL64" s="44"/>
      <c r="BM64" s="13"/>
      <c r="BS64" s="57">
        <v>45576</v>
      </c>
      <c r="BT64" s="64">
        <f t="shared" si="14"/>
        <v>2024</v>
      </c>
      <c r="BU64" s="58">
        <v>-129097</v>
      </c>
      <c r="BV64" s="58">
        <f t="shared" si="35"/>
        <v>463106.1</v>
      </c>
      <c r="BW64" s="58">
        <f t="shared" si="36"/>
        <v>4258.9948972602742</v>
      </c>
      <c r="BX64" s="13"/>
    </row>
    <row r="65" spans="2:76">
      <c r="B65" s="84"/>
      <c r="C65" s="2"/>
      <c r="D65" s="2"/>
      <c r="E65" s="2"/>
      <c r="F65" s="2"/>
      <c r="G65" s="2"/>
      <c r="J65" s="86"/>
      <c r="K65" s="58"/>
      <c r="L65" s="58"/>
      <c r="M65" s="58"/>
      <c r="N65" s="58"/>
      <c r="O65" s="58"/>
      <c r="P65" s="84"/>
      <c r="Q65" s="84"/>
      <c r="R65" s="57">
        <f t="shared" si="37"/>
        <v>47348</v>
      </c>
      <c r="S65" s="58">
        <f t="shared" si="18"/>
        <v>2029</v>
      </c>
      <c r="T65" s="58">
        <f t="shared" si="38"/>
        <v>1553134.303372595</v>
      </c>
      <c r="U65" s="58">
        <f t="shared" si="39"/>
        <v>-91166</v>
      </c>
      <c r="V65" s="58">
        <f t="shared" si="19"/>
        <v>9215.263533344063</v>
      </c>
      <c r="W65" s="58">
        <f t="shared" si="20"/>
        <v>1471183.566905939</v>
      </c>
      <c r="X65" s="58">
        <f t="shared" si="21"/>
        <v>-81950.736466655944</v>
      </c>
      <c r="Z65" s="57">
        <f t="shared" si="22"/>
        <v>47557</v>
      </c>
      <c r="AA65" s="58">
        <f t="shared" si="4"/>
        <v>2030</v>
      </c>
      <c r="AB65" s="58">
        <f t="shared" si="23"/>
        <v>3979578.8013035618</v>
      </c>
      <c r="AC65" s="58">
        <f t="shared" si="24"/>
        <v>-34780.986771779273</v>
      </c>
      <c r="AD65" s="61">
        <f t="shared" si="5"/>
        <v>47588</v>
      </c>
      <c r="AE65" s="58">
        <f t="shared" si="6"/>
        <v>21556.051840394295</v>
      </c>
      <c r="AF65" s="58">
        <f t="shared" si="7"/>
        <v>3966353.8663721769</v>
      </c>
      <c r="AG65" s="58">
        <f t="shared" si="8"/>
        <v>13224.934931384865</v>
      </c>
      <c r="AH65" s="57"/>
      <c r="AI65" s="57"/>
      <c r="AJ65" s="58"/>
      <c r="AK65" s="58"/>
      <c r="AL65" s="58"/>
      <c r="AM65" s="58"/>
      <c r="AN65" s="58"/>
      <c r="AO65" s="57"/>
      <c r="AP65" s="57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87"/>
      <c r="BE65" s="87"/>
      <c r="BF65" s="87"/>
      <c r="BG65" s="89"/>
      <c r="BH65" s="89"/>
      <c r="BI65" s="89"/>
      <c r="BJ65" s="58"/>
      <c r="BK65" s="13"/>
      <c r="BL65" s="13"/>
      <c r="BM65" s="13"/>
      <c r="BS65" s="57">
        <v>45582</v>
      </c>
      <c r="BT65" s="64">
        <f t="shared" si="14"/>
        <v>2024</v>
      </c>
      <c r="BU65" s="58">
        <v>90000</v>
      </c>
      <c r="BV65" s="58">
        <f t="shared" si="35"/>
        <v>553106.1</v>
      </c>
      <c r="BW65" s="58">
        <f t="shared" si="36"/>
        <v>570.95272602739726</v>
      </c>
      <c r="BX65" s="13"/>
    </row>
    <row r="66" spans="2:76">
      <c r="B66" s="84"/>
      <c r="C66" s="2"/>
      <c r="D66" s="2"/>
      <c r="E66" s="2"/>
      <c r="F66" s="2"/>
      <c r="G66" s="2"/>
      <c r="J66" s="86"/>
      <c r="K66" s="58"/>
      <c r="L66" s="58"/>
      <c r="M66" s="58"/>
      <c r="N66" s="58"/>
      <c r="O66" s="58"/>
      <c r="P66" s="84"/>
      <c r="Q66" s="84"/>
      <c r="R66" s="57">
        <f t="shared" si="37"/>
        <v>47379</v>
      </c>
      <c r="S66" s="58">
        <f t="shared" si="18"/>
        <v>2029</v>
      </c>
      <c r="T66" s="58">
        <f t="shared" si="38"/>
        <v>1471183.566905939</v>
      </c>
      <c r="U66" s="58">
        <f t="shared" si="39"/>
        <v>-91166</v>
      </c>
      <c r="V66" s="58">
        <f t="shared" si="19"/>
        <v>8729.022496975238</v>
      </c>
      <c r="W66" s="58">
        <f t="shared" si="20"/>
        <v>1388746.5894029143</v>
      </c>
      <c r="X66" s="58">
        <f t="shared" si="21"/>
        <v>-82436.977503024769</v>
      </c>
      <c r="Z66" s="57">
        <f t="shared" si="22"/>
        <v>47588</v>
      </c>
      <c r="AA66" s="58">
        <f t="shared" si="4"/>
        <v>2030</v>
      </c>
      <c r="AB66" s="58">
        <f t="shared" si="23"/>
        <v>3966353.8663721769</v>
      </c>
      <c r="AC66" s="58">
        <f t="shared" si="24"/>
        <v>-34780.986771779273</v>
      </c>
      <c r="AD66" s="61">
        <f t="shared" si="5"/>
        <v>47618</v>
      </c>
      <c r="AE66" s="58">
        <f t="shared" si="6"/>
        <v>21484.416776182625</v>
      </c>
      <c r="AF66" s="58">
        <f t="shared" si="7"/>
        <v>3953057.2963765804</v>
      </c>
      <c r="AG66" s="58">
        <f t="shared" si="8"/>
        <v>13296.569995596539</v>
      </c>
      <c r="AH66" s="57"/>
      <c r="AI66" s="57"/>
      <c r="AJ66" s="58"/>
      <c r="AK66" s="58"/>
      <c r="AL66" s="58"/>
      <c r="AM66" s="58"/>
      <c r="AN66" s="58"/>
      <c r="AO66" s="57"/>
      <c r="AP66" s="57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87"/>
      <c r="BE66" s="87"/>
      <c r="BF66" s="87"/>
      <c r="BG66" s="89"/>
      <c r="BH66" s="89"/>
      <c r="BI66" s="89"/>
      <c r="BJ66" s="58"/>
      <c r="BK66" s="13"/>
      <c r="BL66" s="13"/>
      <c r="BM66" s="13"/>
      <c r="BS66" s="57">
        <v>45657</v>
      </c>
      <c r="BT66" s="64">
        <f t="shared" si="14"/>
        <v>2025</v>
      </c>
      <c r="BU66" s="58">
        <v>0</v>
      </c>
      <c r="BV66" s="58">
        <f t="shared" si="35"/>
        <v>553106.1</v>
      </c>
      <c r="BW66" s="58">
        <f t="shared" si="36"/>
        <v>8523.8953767123276</v>
      </c>
      <c r="BX66" s="13"/>
    </row>
    <row r="67" spans="2:76">
      <c r="B67" s="84"/>
      <c r="C67" s="2"/>
      <c r="D67" s="2"/>
      <c r="E67" s="2"/>
      <c r="F67" s="2"/>
      <c r="G67" s="2"/>
      <c r="J67" s="86"/>
      <c r="K67" s="58"/>
      <c r="L67" s="58"/>
      <c r="M67" s="58"/>
      <c r="N67" s="58"/>
      <c r="O67" s="58"/>
      <c r="P67" s="84"/>
      <c r="Q67" s="84"/>
      <c r="R67" s="57">
        <f t="shared" si="37"/>
        <v>47409</v>
      </c>
      <c r="S67" s="58">
        <f t="shared" si="18"/>
        <v>2029</v>
      </c>
      <c r="T67" s="58">
        <f t="shared" si="38"/>
        <v>1388746.5894029143</v>
      </c>
      <c r="U67" s="58">
        <f t="shared" si="39"/>
        <v>-91166</v>
      </c>
      <c r="V67" s="58">
        <f t="shared" si="19"/>
        <v>8239.896430457291</v>
      </c>
      <c r="W67" s="58">
        <f t="shared" si="20"/>
        <v>1305820.4858333715</v>
      </c>
      <c r="X67" s="58">
        <f t="shared" si="21"/>
        <v>-82926.103569542713</v>
      </c>
      <c r="Z67" s="57">
        <f t="shared" si="22"/>
        <v>47618</v>
      </c>
      <c r="AA67" s="58">
        <f t="shared" si="4"/>
        <v>2030</v>
      </c>
      <c r="AB67" s="58">
        <f t="shared" si="23"/>
        <v>3953057.2963765804</v>
      </c>
      <c r="AC67" s="58">
        <f t="shared" si="24"/>
        <v>-34780.986771779273</v>
      </c>
      <c r="AD67" s="61">
        <f t="shared" si="5"/>
        <v>47649</v>
      </c>
      <c r="AE67" s="58">
        <f t="shared" si="6"/>
        <v>21412.393688706477</v>
      </c>
      <c r="AF67" s="58">
        <f t="shared" si="7"/>
        <v>3939688.7032935079</v>
      </c>
      <c r="AG67" s="58">
        <f t="shared" si="8"/>
        <v>13368.593083072454</v>
      </c>
      <c r="AH67" s="57"/>
      <c r="AI67" s="57"/>
      <c r="AJ67" s="58"/>
      <c r="AK67" s="58"/>
      <c r="AL67" s="58"/>
      <c r="AM67" s="58"/>
      <c r="AN67" s="58"/>
      <c r="AO67" s="57"/>
      <c r="AP67" s="57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90"/>
      <c r="BE67" s="90"/>
      <c r="BF67" s="90"/>
      <c r="BG67" s="89"/>
      <c r="BH67" s="89"/>
      <c r="BI67" s="89"/>
      <c r="BJ67" s="58"/>
      <c r="BK67" s="13"/>
      <c r="BL67" s="13"/>
      <c r="BM67" s="13"/>
      <c r="BS67" s="57">
        <v>45659</v>
      </c>
      <c r="BT67" s="64">
        <v>2025</v>
      </c>
      <c r="BU67" s="58">
        <v>-200000</v>
      </c>
      <c r="BV67" s="58">
        <f t="shared" si="35"/>
        <v>353106.1</v>
      </c>
      <c r="BW67" s="58">
        <f t="shared" si="36"/>
        <v>227.30387671232873</v>
      </c>
      <c r="BX67" s="13"/>
    </row>
    <row r="68" spans="2:76">
      <c r="B68" s="84"/>
      <c r="C68" s="2"/>
      <c r="D68" s="2"/>
      <c r="E68" s="2"/>
      <c r="F68" s="2"/>
      <c r="G68" s="2"/>
      <c r="J68" s="86"/>
      <c r="K68" s="58"/>
      <c r="L68" s="58"/>
      <c r="M68" s="58"/>
      <c r="N68" s="58"/>
      <c r="O68" s="58"/>
      <c r="P68" s="84"/>
      <c r="Q68" s="84"/>
      <c r="R68" s="57">
        <f t="shared" si="37"/>
        <v>47440</v>
      </c>
      <c r="S68" s="58">
        <f t="shared" si="18"/>
        <v>2029</v>
      </c>
      <c r="T68" s="58">
        <f t="shared" si="38"/>
        <v>1305820.4858333715</v>
      </c>
      <c r="U68" s="58">
        <f t="shared" si="39"/>
        <v>-91166</v>
      </c>
      <c r="V68" s="58">
        <f t="shared" si="19"/>
        <v>7747.8682159446716</v>
      </c>
      <c r="W68" s="58">
        <f t="shared" si="20"/>
        <v>1222402.3540493161</v>
      </c>
      <c r="X68" s="58">
        <f t="shared" si="21"/>
        <v>-83418.131784055324</v>
      </c>
      <c r="Z68" s="57">
        <f t="shared" si="22"/>
        <v>47649</v>
      </c>
      <c r="AA68" s="58">
        <f t="shared" si="4"/>
        <v>2030</v>
      </c>
      <c r="AB68" s="58">
        <f t="shared" si="23"/>
        <v>3939688.7032935079</v>
      </c>
      <c r="AC68" s="58">
        <f t="shared" si="24"/>
        <v>-34780.986771779273</v>
      </c>
      <c r="AD68" s="61">
        <f t="shared" si="5"/>
        <v>47679</v>
      </c>
      <c r="AE68" s="58">
        <f t="shared" si="6"/>
        <v>21339.980476173168</v>
      </c>
      <c r="AF68" s="58">
        <f t="shared" si="7"/>
        <v>3926247.6969979019</v>
      </c>
      <c r="AG68" s="58">
        <f t="shared" si="8"/>
        <v>13441.006295606028</v>
      </c>
      <c r="AH68" s="57"/>
      <c r="AI68" s="57"/>
      <c r="AJ68" s="58"/>
      <c r="AK68" s="58"/>
      <c r="AL68" s="58"/>
      <c r="AM68" s="58"/>
      <c r="AN68" s="58"/>
      <c r="AO68" s="57"/>
      <c r="AP68" s="57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87"/>
      <c r="BE68" s="87"/>
      <c r="BF68" s="87"/>
      <c r="BG68" s="89"/>
      <c r="BH68" s="89"/>
      <c r="BI68" s="89"/>
      <c r="BJ68" s="58"/>
      <c r="BK68" s="13"/>
      <c r="BL68" s="13"/>
      <c r="BM68" s="13"/>
      <c r="BS68" s="57">
        <v>45686</v>
      </c>
      <c r="BT68" s="64">
        <v>2025</v>
      </c>
      <c r="BU68" s="58">
        <v>-100000</v>
      </c>
      <c r="BV68" s="58">
        <f t="shared" si="35"/>
        <v>253106.09999999998</v>
      </c>
      <c r="BW68" s="58">
        <f t="shared" si="36"/>
        <v>1959.0132945205476</v>
      </c>
      <c r="BX68" s="13"/>
    </row>
    <row r="69" spans="2:76">
      <c r="B69" s="84"/>
      <c r="C69" s="2"/>
      <c r="D69" s="2"/>
      <c r="E69" s="2"/>
      <c r="F69" s="2"/>
      <c r="G69" s="2"/>
      <c r="J69" s="86"/>
      <c r="K69" s="58"/>
      <c r="L69" s="58"/>
      <c r="M69" s="58"/>
      <c r="N69" s="58"/>
      <c r="O69" s="58"/>
      <c r="P69" s="84"/>
      <c r="Q69" s="84"/>
      <c r="R69" s="57">
        <f t="shared" si="37"/>
        <v>47470</v>
      </c>
      <c r="S69" s="58">
        <f t="shared" si="18"/>
        <v>2030</v>
      </c>
      <c r="T69" s="58">
        <f t="shared" si="38"/>
        <v>1222402.3540493161</v>
      </c>
      <c r="U69" s="58">
        <f t="shared" si="39"/>
        <v>-91166</v>
      </c>
      <c r="V69" s="58">
        <f t="shared" si="19"/>
        <v>7252.9206340259416</v>
      </c>
      <c r="W69" s="58">
        <f t="shared" si="20"/>
        <v>1138489.2746833421</v>
      </c>
      <c r="X69" s="58">
        <f t="shared" si="21"/>
        <v>-83913.079365974059</v>
      </c>
      <c r="Z69" s="57">
        <f t="shared" si="22"/>
        <v>47679</v>
      </c>
      <c r="AA69" s="58">
        <f t="shared" si="4"/>
        <v>2030</v>
      </c>
      <c r="AB69" s="58">
        <f t="shared" si="23"/>
        <v>3926247.6969979019</v>
      </c>
      <c r="AC69" s="58">
        <f t="shared" si="24"/>
        <v>-34780.986771779273</v>
      </c>
      <c r="AD69" s="61">
        <f t="shared" si="5"/>
        <v>47710</v>
      </c>
      <c r="AE69" s="58">
        <f t="shared" si="6"/>
        <v>21267.175025405304</v>
      </c>
      <c r="AF69" s="58">
        <f t="shared" si="7"/>
        <v>3912733.8852515281</v>
      </c>
      <c r="AG69" s="58">
        <f t="shared" si="8"/>
        <v>13513.811746373773</v>
      </c>
      <c r="AH69" s="57"/>
      <c r="AI69" s="57"/>
      <c r="AJ69" s="58"/>
      <c r="AK69" s="58"/>
      <c r="AL69" s="58"/>
      <c r="AM69" s="58"/>
      <c r="AN69" s="58"/>
      <c r="AO69" s="57"/>
      <c r="AP69" s="57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44"/>
      <c r="BB69" s="44"/>
      <c r="BC69" s="44"/>
      <c r="BD69" s="87"/>
      <c r="BE69" s="87"/>
      <c r="BF69" s="87"/>
      <c r="BG69" s="89"/>
      <c r="BH69" s="89"/>
      <c r="BI69" s="89"/>
      <c r="BJ69" s="58"/>
      <c r="BK69" s="13"/>
      <c r="BL69" s="13"/>
      <c r="BM69" s="13"/>
      <c r="BS69" s="57">
        <v>45708</v>
      </c>
      <c r="BT69" s="64">
        <v>2025</v>
      </c>
      <c r="BU69" s="58">
        <v>50000</v>
      </c>
      <c r="BV69" s="58">
        <f t="shared" si="35"/>
        <v>303106.09999999998</v>
      </c>
      <c r="BW69" s="58">
        <v>-56000</v>
      </c>
      <c r="BX69" s="13"/>
    </row>
    <row r="70" spans="2:76">
      <c r="B70" s="84"/>
      <c r="C70" s="2"/>
      <c r="D70" s="2"/>
      <c r="E70" s="2"/>
      <c r="F70" s="2"/>
      <c r="G70" s="2"/>
      <c r="J70" s="86"/>
      <c r="K70" s="58"/>
      <c r="L70" s="58"/>
      <c r="M70" s="58"/>
      <c r="N70" s="58"/>
      <c r="O70" s="58"/>
      <c r="P70" s="84"/>
      <c r="Q70" s="84"/>
      <c r="R70" s="57">
        <f t="shared" si="37"/>
        <v>47501</v>
      </c>
      <c r="S70" s="58">
        <f t="shared" si="18"/>
        <v>2030</v>
      </c>
      <c r="T70" s="58">
        <f t="shared" si="38"/>
        <v>1138489.2746833421</v>
      </c>
      <c r="U70" s="58">
        <f t="shared" si="39"/>
        <v>-91166</v>
      </c>
      <c r="V70" s="58">
        <f t="shared" si="19"/>
        <v>6755.036363121163</v>
      </c>
      <c r="W70" s="58">
        <f t="shared" si="20"/>
        <v>1054078.3110464632</v>
      </c>
      <c r="X70" s="58">
        <f t="shared" si="21"/>
        <v>-84410.963636878834</v>
      </c>
      <c r="Z70" s="57">
        <f t="shared" si="22"/>
        <v>47710</v>
      </c>
      <c r="AA70" s="58">
        <f t="shared" si="4"/>
        <v>2030</v>
      </c>
      <c r="AB70" s="58">
        <f t="shared" si="23"/>
        <v>3912733.8852515281</v>
      </c>
      <c r="AC70" s="58">
        <f t="shared" si="24"/>
        <v>-34780.986771779273</v>
      </c>
      <c r="AD70" s="61">
        <f t="shared" si="5"/>
        <v>47741</v>
      </c>
      <c r="AE70" s="58">
        <f t="shared" si="6"/>
        <v>21193.97521177911</v>
      </c>
      <c r="AF70" s="58">
        <f t="shared" si="7"/>
        <v>3899146.8736915281</v>
      </c>
      <c r="AG70" s="58">
        <f t="shared" si="8"/>
        <v>13587.011560000014</v>
      </c>
      <c r="AH70" s="91"/>
      <c r="AI70" s="57"/>
      <c r="AJ70" s="58"/>
      <c r="AK70" s="58"/>
      <c r="AL70" s="58"/>
      <c r="AM70" s="58"/>
      <c r="AN70" s="58"/>
      <c r="AO70" s="57"/>
      <c r="AP70" s="57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90"/>
      <c r="BE70" s="90"/>
      <c r="BF70" s="90"/>
      <c r="BG70" s="89"/>
      <c r="BH70" s="89"/>
      <c r="BI70" s="89"/>
      <c r="BJ70" s="58"/>
      <c r="BK70" s="13"/>
      <c r="BL70" s="13"/>
      <c r="BM70" s="13"/>
      <c r="BS70" s="57">
        <v>45722</v>
      </c>
      <c r="BT70" s="64">
        <v>2025</v>
      </c>
      <c r="BU70" s="58">
        <v>-50000</v>
      </c>
      <c r="BV70" s="58">
        <f t="shared" si="35"/>
        <v>253106.09999999998</v>
      </c>
      <c r="BW70" s="92">
        <f t="shared" ref="BW70:BW77" si="61">$BW$2*(BS70-BS69)/365*BV69</f>
        <v>871.94905479452052</v>
      </c>
      <c r="BX70" s="13"/>
    </row>
    <row r="71" spans="2:76">
      <c r="B71" s="84"/>
      <c r="C71" s="2"/>
      <c r="D71" s="2"/>
      <c r="E71" s="2"/>
      <c r="F71" s="2"/>
      <c r="G71" s="2"/>
      <c r="J71" s="86"/>
      <c r="K71" s="58"/>
      <c r="L71" s="58"/>
      <c r="M71" s="58"/>
      <c r="N71" s="58"/>
      <c r="O71" s="58"/>
      <c r="P71" s="84"/>
      <c r="Q71" s="84"/>
      <c r="R71" s="57">
        <f t="shared" si="37"/>
        <v>47532</v>
      </c>
      <c r="S71" s="58">
        <f t="shared" si="18"/>
        <v>2030</v>
      </c>
      <c r="T71" s="58">
        <f t="shared" si="38"/>
        <v>1054078.3110464632</v>
      </c>
      <c r="U71" s="58">
        <f t="shared" si="39"/>
        <v>-91166</v>
      </c>
      <c r="V71" s="58">
        <f t="shared" si="19"/>
        <v>6254.1979788756807</v>
      </c>
      <c r="W71" s="58">
        <f t="shared" si="20"/>
        <v>969166.50902533892</v>
      </c>
      <c r="X71" s="58">
        <f t="shared" si="21"/>
        <v>-84911.802021124313</v>
      </c>
      <c r="Z71" s="57">
        <f t="shared" si="22"/>
        <v>47741</v>
      </c>
      <c r="AA71" s="58">
        <f t="shared" si="4"/>
        <v>2030</v>
      </c>
      <c r="AB71" s="58">
        <f t="shared" si="23"/>
        <v>3899146.8736915281</v>
      </c>
      <c r="AC71" s="58">
        <f t="shared" si="24"/>
        <v>-34780.986771779273</v>
      </c>
      <c r="AD71" s="61">
        <f t="shared" si="5"/>
        <v>47771</v>
      </c>
      <c r="AE71" s="58">
        <f t="shared" si="6"/>
        <v>21120.378899162446</v>
      </c>
      <c r="AF71" s="58">
        <f t="shared" si="7"/>
        <v>3885486.2658189116</v>
      </c>
      <c r="AG71" s="58">
        <f t="shared" si="8"/>
        <v>13660.6078726165</v>
      </c>
      <c r="AH71" s="91"/>
      <c r="AI71" s="57"/>
      <c r="AJ71" s="58"/>
      <c r="AK71" s="58"/>
      <c r="AL71" s="58"/>
      <c r="AM71" s="58"/>
      <c r="AN71" s="58"/>
      <c r="AO71" s="57"/>
      <c r="AP71" s="57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90"/>
      <c r="BE71" s="90"/>
      <c r="BF71" s="90"/>
      <c r="BG71" s="89"/>
      <c r="BH71" s="89"/>
      <c r="BI71" s="89"/>
      <c r="BJ71" s="58"/>
      <c r="BK71" s="13"/>
      <c r="BL71" s="13"/>
      <c r="BM71" s="13"/>
      <c r="BS71" s="57">
        <v>45726</v>
      </c>
      <c r="BT71" s="64">
        <v>2025</v>
      </c>
      <c r="BU71" s="58">
        <v>-100000</v>
      </c>
      <c r="BV71" s="58">
        <f t="shared" si="35"/>
        <v>153106.09999999998</v>
      </c>
      <c r="BW71" s="92">
        <f t="shared" si="61"/>
        <v>208.03241095890408</v>
      </c>
      <c r="BX71" s="13"/>
    </row>
    <row r="72" spans="2:76">
      <c r="B72" s="84"/>
      <c r="C72" s="2"/>
      <c r="D72" s="2"/>
      <c r="E72" s="2"/>
      <c r="F72" s="2"/>
      <c r="G72" s="2"/>
      <c r="J72" s="86"/>
      <c r="K72" s="58"/>
      <c r="L72" s="58"/>
      <c r="M72" s="58"/>
      <c r="N72" s="58"/>
      <c r="O72" s="58"/>
      <c r="P72" s="84"/>
      <c r="Q72" s="84"/>
      <c r="R72" s="57">
        <f t="shared" si="37"/>
        <v>47560</v>
      </c>
      <c r="S72" s="58">
        <f t="shared" si="18"/>
        <v>2030</v>
      </c>
      <c r="T72" s="58">
        <f t="shared" si="38"/>
        <v>969166.50902533892</v>
      </c>
      <c r="U72" s="58">
        <f t="shared" si="39"/>
        <v>-91166</v>
      </c>
      <c r="V72" s="58">
        <f t="shared" si="19"/>
        <v>5750.3879535503438</v>
      </c>
      <c r="W72" s="58">
        <f t="shared" si="20"/>
        <v>883750.89697888924</v>
      </c>
      <c r="X72" s="58">
        <f t="shared" si="21"/>
        <v>-85415.612046449649</v>
      </c>
      <c r="Z72" s="57">
        <f t="shared" si="22"/>
        <v>47771</v>
      </c>
      <c r="AA72" s="58">
        <f t="shared" si="4"/>
        <v>2030</v>
      </c>
      <c r="AB72" s="58">
        <f t="shared" si="23"/>
        <v>3885486.2658189116</v>
      </c>
      <c r="AC72" s="58">
        <f t="shared" si="24"/>
        <v>-34780.986771779273</v>
      </c>
      <c r="AD72" s="61">
        <f t="shared" si="5"/>
        <v>47802</v>
      </c>
      <c r="AE72" s="58">
        <f t="shared" si="6"/>
        <v>21046.38393985244</v>
      </c>
      <c r="AF72" s="58">
        <f t="shared" si="7"/>
        <v>3871751.6629869849</v>
      </c>
      <c r="AG72" s="58">
        <f t="shared" si="8"/>
        <v>13734.602831926662</v>
      </c>
      <c r="AH72" s="62"/>
      <c r="AI72" s="57"/>
      <c r="AJ72" s="58"/>
      <c r="AK72" s="58"/>
      <c r="AL72" s="58"/>
      <c r="AM72" s="58"/>
      <c r="AN72" s="58"/>
      <c r="AO72" s="93"/>
      <c r="AP72" s="9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87"/>
      <c r="BE72" s="87"/>
      <c r="BF72" s="87"/>
      <c r="BG72" s="89"/>
      <c r="BH72" s="89"/>
      <c r="BI72" s="89"/>
      <c r="BJ72" s="58"/>
      <c r="BK72" s="13"/>
      <c r="BL72" s="13"/>
      <c r="BM72" s="13"/>
      <c r="BS72" s="57">
        <v>45735</v>
      </c>
      <c r="BT72" s="64">
        <v>2025</v>
      </c>
      <c r="BU72" s="58">
        <v>100000</v>
      </c>
      <c r="BV72" s="58">
        <f t="shared" si="35"/>
        <v>253106.09999999998</v>
      </c>
      <c r="BW72" s="92">
        <f t="shared" si="61"/>
        <v>283.1414178082191</v>
      </c>
      <c r="BX72" s="13"/>
    </row>
    <row r="73" spans="2:76">
      <c r="B73" s="84"/>
      <c r="C73" s="2"/>
      <c r="D73" s="2"/>
      <c r="E73" s="2"/>
      <c r="F73" s="2"/>
      <c r="G73" s="2"/>
      <c r="J73" s="86"/>
      <c r="K73" s="58"/>
      <c r="L73" s="58"/>
      <c r="M73" s="58"/>
      <c r="N73" s="58"/>
      <c r="O73" s="58"/>
      <c r="P73" s="84"/>
      <c r="Q73" s="84"/>
      <c r="R73" s="57">
        <f t="shared" si="37"/>
        <v>47591</v>
      </c>
      <c r="S73" s="58">
        <f t="shared" si="18"/>
        <v>2030</v>
      </c>
      <c r="T73" s="58">
        <f t="shared" si="38"/>
        <v>883750.89697888924</v>
      </c>
      <c r="U73" s="58">
        <f t="shared" si="39"/>
        <v>-91166</v>
      </c>
      <c r="V73" s="58">
        <f t="shared" si="19"/>
        <v>5243.5886554080762</v>
      </c>
      <c r="W73" s="58">
        <f t="shared" si="20"/>
        <v>797828.48563429737</v>
      </c>
      <c r="X73" s="58">
        <f t="shared" si="21"/>
        <v>-85922.411344591921</v>
      </c>
      <c r="Z73" s="57">
        <f t="shared" si="22"/>
        <v>47802</v>
      </c>
      <c r="AA73" s="58">
        <f t="shared" si="4"/>
        <v>2030</v>
      </c>
      <c r="AB73" s="58">
        <f t="shared" si="23"/>
        <v>3871751.6629869849</v>
      </c>
      <c r="AC73" s="58">
        <f t="shared" si="24"/>
        <v>-34780.986771779273</v>
      </c>
      <c r="AD73" s="61">
        <f t="shared" si="5"/>
        <v>47832</v>
      </c>
      <c r="AE73" s="58">
        <f t="shared" si="6"/>
        <v>20971.988174512837</v>
      </c>
      <c r="AF73" s="58">
        <f t="shared" si="7"/>
        <v>3857942.6643897188</v>
      </c>
      <c r="AG73" s="58">
        <f t="shared" si="8"/>
        <v>13808.998597266153</v>
      </c>
      <c r="AH73" s="57"/>
      <c r="AI73" s="57"/>
      <c r="AJ73" s="58"/>
      <c r="AK73" s="58"/>
      <c r="AL73" s="58"/>
      <c r="AM73" s="58"/>
      <c r="AN73" s="58"/>
      <c r="AO73" s="57"/>
      <c r="AP73" s="57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90"/>
      <c r="BE73" s="90"/>
      <c r="BF73" s="90"/>
      <c r="BG73" s="89"/>
      <c r="BH73" s="89"/>
      <c r="BI73" s="89"/>
      <c r="BJ73" s="58"/>
      <c r="BK73" s="13"/>
      <c r="BL73" s="13"/>
      <c r="BM73" s="13"/>
      <c r="BS73" s="57">
        <v>45751</v>
      </c>
      <c r="BT73" s="64">
        <v>2025</v>
      </c>
      <c r="BU73" s="58">
        <v>-50000</v>
      </c>
      <c r="BV73" s="58">
        <f t="shared" si="35"/>
        <v>203106.09999999998</v>
      </c>
      <c r="BW73" s="92">
        <f t="shared" si="61"/>
        <v>832.12964383561632</v>
      </c>
      <c r="BX73" s="13"/>
    </row>
    <row r="74" spans="2:76">
      <c r="B74" s="84"/>
      <c r="C74" s="2"/>
      <c r="D74" s="2"/>
      <c r="E74" s="2"/>
      <c r="F74" s="2"/>
      <c r="G74" s="2"/>
      <c r="J74" s="86"/>
      <c r="K74" s="58"/>
      <c r="L74" s="58"/>
      <c r="M74" s="58"/>
      <c r="N74" s="58"/>
      <c r="O74" s="58"/>
      <c r="P74" s="84"/>
      <c r="Q74" s="84"/>
      <c r="R74" s="57">
        <f t="shared" si="37"/>
        <v>47621</v>
      </c>
      <c r="S74" s="58">
        <f t="shared" si="18"/>
        <v>2030</v>
      </c>
      <c r="T74" s="58">
        <f t="shared" si="38"/>
        <v>797828.48563429737</v>
      </c>
      <c r="U74" s="58">
        <f t="shared" si="39"/>
        <v>-91166</v>
      </c>
      <c r="V74" s="58">
        <f t="shared" si="19"/>
        <v>4733.7823480968309</v>
      </c>
      <c r="W74" s="58">
        <f t="shared" si="20"/>
        <v>711396.2679823942</v>
      </c>
      <c r="X74" s="58">
        <f t="shared" si="21"/>
        <v>-86432.217651903164</v>
      </c>
      <c r="Z74" s="57">
        <f t="shared" si="22"/>
        <v>47832</v>
      </c>
      <c r="AA74" s="58">
        <f t="shared" si="4"/>
        <v>2031</v>
      </c>
      <c r="AB74" s="58">
        <f t="shared" si="23"/>
        <v>3857942.6643897188</v>
      </c>
      <c r="AC74" s="58">
        <f t="shared" si="24"/>
        <v>-34780.986771779273</v>
      </c>
      <c r="AD74" s="61">
        <f t="shared" si="5"/>
        <v>47863</v>
      </c>
      <c r="AE74" s="58">
        <f t="shared" si="6"/>
        <v>20897.189432110976</v>
      </c>
      <c r="AF74" s="58">
        <f t="shared" si="7"/>
        <v>3844058.8670500508</v>
      </c>
      <c r="AG74" s="58">
        <f t="shared" si="8"/>
        <v>13883.797339668032</v>
      </c>
      <c r="AH74" s="13"/>
      <c r="AI74" s="57"/>
      <c r="AJ74" s="58"/>
      <c r="AK74" s="58"/>
      <c r="AL74" s="58"/>
      <c r="AM74" s="58"/>
      <c r="AN74" s="58"/>
      <c r="AO74" s="91"/>
      <c r="AP74" s="91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90"/>
      <c r="BE74" s="90"/>
      <c r="BF74" s="90"/>
      <c r="BG74" s="89"/>
      <c r="BH74" s="89"/>
      <c r="BI74" s="89"/>
      <c r="BJ74" s="58"/>
      <c r="BK74" s="13"/>
      <c r="BL74" s="13"/>
      <c r="BM74" s="13"/>
      <c r="BS74" s="57">
        <v>45757</v>
      </c>
      <c r="BT74" s="64">
        <v>2025</v>
      </c>
      <c r="BU74" s="58">
        <v>-25000</v>
      </c>
      <c r="BV74" s="58">
        <f t="shared" si="35"/>
        <v>178106.09999999998</v>
      </c>
      <c r="BW74" s="92">
        <f t="shared" si="61"/>
        <v>250.40478082191777</v>
      </c>
      <c r="BX74" s="13"/>
    </row>
    <row r="75" spans="2:76">
      <c r="B75" s="84"/>
      <c r="C75" s="2"/>
      <c r="D75" s="2"/>
      <c r="E75" s="2"/>
      <c r="F75" s="2"/>
      <c r="G75" s="2"/>
      <c r="J75" s="86"/>
      <c r="K75" s="58"/>
      <c r="L75" s="58"/>
      <c r="M75" s="58"/>
      <c r="N75" s="58"/>
      <c r="O75" s="58"/>
      <c r="P75" s="84"/>
      <c r="Q75" s="84"/>
      <c r="R75" s="57">
        <f t="shared" si="37"/>
        <v>47652</v>
      </c>
      <c r="S75" s="58">
        <f t="shared" si="18"/>
        <v>2030</v>
      </c>
      <c r="T75" s="58">
        <f t="shared" si="38"/>
        <v>711396.2679823942</v>
      </c>
      <c r="U75" s="58">
        <f t="shared" si="39"/>
        <v>-91166</v>
      </c>
      <c r="V75" s="58">
        <f t="shared" si="19"/>
        <v>4220.9511900288717</v>
      </c>
      <c r="W75" s="58">
        <f t="shared" si="20"/>
        <v>624451.21917242312</v>
      </c>
      <c r="X75" s="58">
        <f t="shared" si="21"/>
        <v>-86945.048809971122</v>
      </c>
      <c r="Z75" s="57">
        <f t="shared" si="22"/>
        <v>47863</v>
      </c>
      <c r="AA75" s="58">
        <f t="shared" si="4"/>
        <v>2031</v>
      </c>
      <c r="AB75" s="58">
        <f t="shared" si="23"/>
        <v>3844058.8670500508</v>
      </c>
      <c r="AC75" s="58">
        <f t="shared" si="24"/>
        <v>-34780.986771779273</v>
      </c>
      <c r="AD75" s="61">
        <f t="shared" si="5"/>
        <v>47894</v>
      </c>
      <c r="AE75" s="58">
        <f t="shared" si="6"/>
        <v>20821.985529854443</v>
      </c>
      <c r="AF75" s="58">
        <f t="shared" si="7"/>
        <v>3830099.8658081261</v>
      </c>
      <c r="AG75" s="58">
        <f t="shared" si="8"/>
        <v>13959.001241924707</v>
      </c>
      <c r="AH75" s="45"/>
      <c r="AI75" s="57"/>
      <c r="AJ75" s="58"/>
      <c r="AK75" s="58"/>
      <c r="AL75" s="58"/>
      <c r="AM75" s="58"/>
      <c r="AN75" s="58"/>
      <c r="AO75" s="91"/>
      <c r="AP75" s="91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87"/>
      <c r="BE75" s="87"/>
      <c r="BF75" s="87"/>
      <c r="BG75" s="89"/>
      <c r="BH75" s="89"/>
      <c r="BI75" s="89"/>
      <c r="BJ75" s="58"/>
      <c r="BK75" s="13"/>
      <c r="BL75" s="13"/>
      <c r="BM75" s="13"/>
      <c r="BS75" s="57">
        <v>45782</v>
      </c>
      <c r="BT75" s="64">
        <v>2025</v>
      </c>
      <c r="BU75" s="58">
        <v>-90000</v>
      </c>
      <c r="BV75" s="58">
        <f t="shared" si="35"/>
        <v>88106.099999999977</v>
      </c>
      <c r="BW75" s="92">
        <f t="shared" si="61"/>
        <v>914.92859589041075</v>
      </c>
      <c r="BX75" s="13"/>
    </row>
    <row r="76" spans="2:76">
      <c r="B76" s="84"/>
      <c r="C76" s="2"/>
      <c r="D76" s="2"/>
      <c r="E76" s="2"/>
      <c r="F76" s="2"/>
      <c r="G76" s="2"/>
      <c r="J76" s="86"/>
      <c r="K76" s="58"/>
      <c r="L76" s="58"/>
      <c r="M76" s="58"/>
      <c r="N76" s="58"/>
      <c r="O76" s="58"/>
      <c r="P76" s="84"/>
      <c r="Q76" s="84"/>
      <c r="R76" s="57">
        <f t="shared" si="37"/>
        <v>47682</v>
      </c>
      <c r="S76" s="58">
        <f t="shared" si="18"/>
        <v>2030</v>
      </c>
      <c r="T76" s="58">
        <f t="shared" si="38"/>
        <v>624451.21917242312</v>
      </c>
      <c r="U76" s="58">
        <f t="shared" si="39"/>
        <v>-91166</v>
      </c>
      <c r="V76" s="58">
        <f t="shared" si="19"/>
        <v>3705.0772337563772</v>
      </c>
      <c r="W76" s="58">
        <f t="shared" si="20"/>
        <v>536990.29640617955</v>
      </c>
      <c r="X76" s="58">
        <f t="shared" si="21"/>
        <v>-87460.922766243617</v>
      </c>
      <c r="Z76" s="57">
        <f t="shared" si="22"/>
        <v>47894</v>
      </c>
      <c r="AA76" s="58">
        <f t="shared" si="4"/>
        <v>2031</v>
      </c>
      <c r="AB76" s="58">
        <f t="shared" si="23"/>
        <v>3830099.8658081261</v>
      </c>
      <c r="AC76" s="58">
        <f t="shared" si="24"/>
        <v>-34780.986771779273</v>
      </c>
      <c r="AD76" s="61">
        <f t="shared" si="5"/>
        <v>47922</v>
      </c>
      <c r="AE76" s="58">
        <f t="shared" si="6"/>
        <v>20746.374273127349</v>
      </c>
      <c r="AF76" s="58">
        <f t="shared" si="7"/>
        <v>3816065.2533094743</v>
      </c>
      <c r="AG76" s="58">
        <f t="shared" si="8"/>
        <v>14034.612498651724</v>
      </c>
      <c r="AH76" s="94"/>
      <c r="AI76" s="57"/>
      <c r="AJ76" s="58"/>
      <c r="AK76" s="58"/>
      <c r="AL76" s="58"/>
      <c r="AM76" s="58"/>
      <c r="AN76" s="58"/>
      <c r="AO76" s="91"/>
      <c r="AP76" s="91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S76" s="57">
        <v>45784</v>
      </c>
      <c r="BT76" s="64">
        <v>2025</v>
      </c>
      <c r="BU76" s="58">
        <v>-25000</v>
      </c>
      <c r="BV76" s="58">
        <f t="shared" si="35"/>
        <v>63106.099999999977</v>
      </c>
      <c r="BW76" s="92">
        <f t="shared" si="61"/>
        <v>36.20798630136985</v>
      </c>
      <c r="BX76" s="13"/>
    </row>
    <row r="77" spans="2:76">
      <c r="B77" s="84"/>
      <c r="C77" s="2"/>
      <c r="D77" s="2"/>
      <c r="E77" s="2"/>
      <c r="F77" s="2"/>
      <c r="G77" s="2"/>
      <c r="J77" s="86"/>
      <c r="K77" s="58"/>
      <c r="L77" s="58"/>
      <c r="M77" s="58"/>
      <c r="N77" s="58"/>
      <c r="O77" s="58"/>
      <c r="P77" s="84"/>
      <c r="Q77" s="84"/>
      <c r="R77" s="57">
        <f t="shared" si="37"/>
        <v>47713</v>
      </c>
      <c r="S77" s="58">
        <f t="shared" si="18"/>
        <v>2030</v>
      </c>
      <c r="T77" s="58">
        <f t="shared" si="38"/>
        <v>536990.29640617955</v>
      </c>
      <c r="U77" s="58">
        <f t="shared" si="39"/>
        <v>-91166</v>
      </c>
      <c r="V77" s="58">
        <f t="shared" si="19"/>
        <v>3186.142425343332</v>
      </c>
      <c r="W77" s="58">
        <f t="shared" si="20"/>
        <v>449010.43883152289</v>
      </c>
      <c r="X77" s="58">
        <f t="shared" si="21"/>
        <v>-87979.857574656664</v>
      </c>
      <c r="Z77" s="57">
        <f t="shared" si="22"/>
        <v>47922</v>
      </c>
      <c r="AA77" s="58">
        <f t="shared" si="4"/>
        <v>2031</v>
      </c>
      <c r="AB77" s="58">
        <f t="shared" si="23"/>
        <v>3816065.2533094743</v>
      </c>
      <c r="AC77" s="58">
        <f t="shared" si="24"/>
        <v>-34780.986771779273</v>
      </c>
      <c r="AD77" s="61">
        <f t="shared" si="5"/>
        <v>47953</v>
      </c>
      <c r="AE77" s="58">
        <f t="shared" si="6"/>
        <v>20670.353455426321</v>
      </c>
      <c r="AF77" s="58">
        <f t="shared" si="7"/>
        <v>3801954.6199931214</v>
      </c>
      <c r="AG77" s="58">
        <f t="shared" si="8"/>
        <v>14110.633316352963</v>
      </c>
      <c r="AH77" s="94"/>
      <c r="AI77" s="57"/>
      <c r="AJ77" s="58"/>
      <c r="AK77" s="58"/>
      <c r="AL77" s="58"/>
      <c r="AM77" s="58"/>
      <c r="AN77" s="58"/>
      <c r="AO77" s="91"/>
      <c r="AP77" s="91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S77" s="57">
        <v>45799</v>
      </c>
      <c r="BT77" s="64">
        <v>2025</v>
      </c>
      <c r="BU77" s="58">
        <f t="shared" ref="BU77:BU78" si="62">-BV76</f>
        <v>-63106.099999999977</v>
      </c>
      <c r="BV77" s="58">
        <f t="shared" si="35"/>
        <v>0</v>
      </c>
      <c r="BW77" s="92">
        <f t="shared" si="61"/>
        <v>194.50510273972594</v>
      </c>
      <c r="BX77" s="13"/>
    </row>
    <row r="78" spans="2:76">
      <c r="B78" s="84"/>
      <c r="C78" s="2"/>
      <c r="D78" s="2"/>
      <c r="E78" s="2"/>
      <c r="F78" s="2"/>
      <c r="G78" s="2"/>
      <c r="J78" s="86"/>
      <c r="K78" s="58"/>
      <c r="L78" s="58"/>
      <c r="M78" s="58"/>
      <c r="N78" s="58"/>
      <c r="O78" s="58"/>
      <c r="P78" s="84"/>
      <c r="Q78" s="84"/>
      <c r="R78" s="57">
        <f t="shared" si="37"/>
        <v>47744</v>
      </c>
      <c r="S78" s="58">
        <f t="shared" si="18"/>
        <v>2030</v>
      </c>
      <c r="T78" s="58">
        <f t="shared" si="38"/>
        <v>449010.43883152289</v>
      </c>
      <c r="U78" s="58">
        <f t="shared" si="39"/>
        <v>-91166</v>
      </c>
      <c r="V78" s="58">
        <f t="shared" si="19"/>
        <v>2664.1286037337027</v>
      </c>
      <c r="W78" s="58">
        <f t="shared" si="20"/>
        <v>360508.56743525661</v>
      </c>
      <c r="X78" s="58">
        <f t="shared" si="21"/>
        <v>-88501.871396266302</v>
      </c>
      <c r="Z78" s="57">
        <f t="shared" si="22"/>
        <v>47953</v>
      </c>
      <c r="AA78" s="58">
        <f t="shared" si="4"/>
        <v>2031</v>
      </c>
      <c r="AB78" s="58">
        <f t="shared" si="23"/>
        <v>3801954.6199931214</v>
      </c>
      <c r="AC78" s="58">
        <f t="shared" si="24"/>
        <v>-34780.986771779273</v>
      </c>
      <c r="AD78" s="61">
        <f t="shared" si="5"/>
        <v>47983</v>
      </c>
      <c r="AE78" s="58">
        <f t="shared" si="6"/>
        <v>20593.920858296075</v>
      </c>
      <c r="AF78" s="58">
        <f t="shared" si="7"/>
        <v>3787767.5540796383</v>
      </c>
      <c r="AG78" s="58">
        <f t="shared" si="8"/>
        <v>14187.065913483035</v>
      </c>
      <c r="AH78" s="94"/>
      <c r="AI78" s="57"/>
      <c r="AJ78" s="58"/>
      <c r="AK78" s="58"/>
      <c r="AL78" s="58"/>
      <c r="AM78" s="58"/>
      <c r="AN78" s="58"/>
      <c r="AO78" s="91"/>
      <c r="AP78" s="91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S78" s="57">
        <v>45819</v>
      </c>
      <c r="BT78" s="64">
        <v>2025</v>
      </c>
      <c r="BU78" s="58">
        <f t="shared" si="62"/>
        <v>0</v>
      </c>
      <c r="BV78" s="58">
        <f t="shared" si="35"/>
        <v>0</v>
      </c>
      <c r="BW78" s="92">
        <f>-SUM(BW70:BW77)</f>
        <v>-3591.2989931506845</v>
      </c>
      <c r="BX78" s="13"/>
    </row>
    <row r="79" spans="2:76">
      <c r="B79" s="84"/>
      <c r="C79" s="2"/>
      <c r="D79" s="2"/>
      <c r="E79" s="2"/>
      <c r="F79" s="2"/>
      <c r="G79" s="2"/>
      <c r="J79" s="86"/>
      <c r="K79" s="58"/>
      <c r="L79" s="58"/>
      <c r="M79" s="58"/>
      <c r="N79" s="58"/>
      <c r="O79" s="58"/>
      <c r="P79" s="84"/>
      <c r="Q79" s="84"/>
      <c r="R79" s="57">
        <f t="shared" si="37"/>
        <v>47774</v>
      </c>
      <c r="S79" s="58">
        <f t="shared" si="18"/>
        <v>2030</v>
      </c>
      <c r="T79" s="58">
        <f t="shared" si="38"/>
        <v>360508.56743525661</v>
      </c>
      <c r="U79" s="58">
        <f t="shared" si="39"/>
        <v>-91166</v>
      </c>
      <c r="V79" s="58">
        <f t="shared" si="19"/>
        <v>2139.0175001158559</v>
      </c>
      <c r="W79" s="58">
        <f t="shared" si="20"/>
        <v>271481.58493537246</v>
      </c>
      <c r="X79" s="58">
        <f t="shared" si="21"/>
        <v>-89026.98249988415</v>
      </c>
      <c r="Z79" s="57">
        <f t="shared" si="22"/>
        <v>47983</v>
      </c>
      <c r="AA79" s="58">
        <f t="shared" si="4"/>
        <v>2031</v>
      </c>
      <c r="AB79" s="58">
        <f t="shared" si="23"/>
        <v>3787767.5540796383</v>
      </c>
      <c r="AC79" s="58">
        <f t="shared" si="24"/>
        <v>-34780.986771779273</v>
      </c>
      <c r="AD79" s="61">
        <f t="shared" si="5"/>
        <v>48014</v>
      </c>
      <c r="AE79" s="58">
        <f t="shared" si="6"/>
        <v>20517.074251264708</v>
      </c>
      <c r="AF79" s="58">
        <f t="shared" si="7"/>
        <v>3773503.641559124</v>
      </c>
      <c r="AG79" s="58">
        <f t="shared" si="8"/>
        <v>14263.912520514335</v>
      </c>
      <c r="AI79" s="57"/>
      <c r="AJ79" s="58"/>
      <c r="AK79" s="58"/>
      <c r="AL79" s="58"/>
      <c r="AM79" s="58"/>
      <c r="AN79" s="58"/>
      <c r="AO79" s="91"/>
      <c r="AP79" s="91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S79" s="57">
        <v>45834</v>
      </c>
      <c r="BT79" s="64">
        <v>2025</v>
      </c>
      <c r="BU79" s="58">
        <v>50000</v>
      </c>
      <c r="BV79" s="58">
        <f t="shared" si="35"/>
        <v>50000</v>
      </c>
      <c r="BW79" s="92">
        <v>0</v>
      </c>
      <c r="BX79" s="13"/>
    </row>
    <row r="80" spans="2:76">
      <c r="B80" s="84"/>
      <c r="C80" s="2"/>
      <c r="D80" s="2"/>
      <c r="E80" s="2"/>
      <c r="F80" s="2"/>
      <c r="G80" s="2"/>
      <c r="J80" s="86"/>
      <c r="K80" s="58"/>
      <c r="L80" s="58"/>
      <c r="M80" s="58"/>
      <c r="N80" s="58"/>
      <c r="O80" s="58"/>
      <c r="P80" s="84"/>
      <c r="Q80" s="84"/>
      <c r="R80" s="57">
        <f t="shared" si="37"/>
        <v>47805</v>
      </c>
      <c r="S80" s="58">
        <f t="shared" si="18"/>
        <v>2030</v>
      </c>
      <c r="T80" s="58">
        <f t="shared" si="38"/>
        <v>271481.58493537246</v>
      </c>
      <c r="U80" s="58">
        <f t="shared" si="39"/>
        <v>-91166</v>
      </c>
      <c r="V80" s="58">
        <f t="shared" si="19"/>
        <v>1610.7907372832099</v>
      </c>
      <c r="W80" s="58">
        <f t="shared" si="20"/>
        <v>181926.37567265567</v>
      </c>
      <c r="X80" s="58">
        <f t="shared" si="21"/>
        <v>-89555.209262716788</v>
      </c>
      <c r="Z80" s="57">
        <f t="shared" si="22"/>
        <v>48014</v>
      </c>
      <c r="AA80" s="58">
        <f t="shared" si="4"/>
        <v>2031</v>
      </c>
      <c r="AB80" s="58">
        <f t="shared" si="23"/>
        <v>3773503.641559124</v>
      </c>
      <c r="AC80" s="58">
        <f t="shared" si="24"/>
        <v>-34780.986771779273</v>
      </c>
      <c r="AD80" s="61">
        <f t="shared" si="5"/>
        <v>48044</v>
      </c>
      <c r="AE80" s="58">
        <f t="shared" si="6"/>
        <v>20439.811391778589</v>
      </c>
      <c r="AF80" s="58">
        <f t="shared" si="7"/>
        <v>3759162.4661791236</v>
      </c>
      <c r="AG80" s="58">
        <f t="shared" si="8"/>
        <v>14341.175380000379</v>
      </c>
      <c r="AI80" s="57"/>
      <c r="AJ80" s="58"/>
      <c r="AK80" s="58"/>
      <c r="AL80" s="58"/>
      <c r="AM80" s="58"/>
      <c r="AN80" s="58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S80" s="57">
        <v>45846</v>
      </c>
      <c r="BT80" s="64">
        <v>2025</v>
      </c>
      <c r="BU80" s="58">
        <f t="shared" ref="BU80:BU81" si="63">-BV79</f>
        <v>-50000</v>
      </c>
      <c r="BV80" s="58">
        <f t="shared" si="35"/>
        <v>0</v>
      </c>
      <c r="BW80" s="92">
        <f>$BW$2*(BS80-BS79)/365*BV79-23</f>
        <v>100.2876712328767</v>
      </c>
      <c r="BX80" s="13"/>
    </row>
    <row r="81" spans="2:76">
      <c r="B81" s="84"/>
      <c r="C81" s="2"/>
      <c r="D81" s="2"/>
      <c r="E81" s="2"/>
      <c r="F81" s="2"/>
      <c r="G81" s="2"/>
      <c r="J81" s="86"/>
      <c r="K81" s="58"/>
      <c r="L81" s="58"/>
      <c r="M81" s="58"/>
      <c r="N81" s="58"/>
      <c r="O81" s="58"/>
      <c r="P81" s="84"/>
      <c r="Q81" s="84"/>
      <c r="R81" s="57">
        <f t="shared" si="37"/>
        <v>47835</v>
      </c>
      <c r="S81" s="58">
        <f t="shared" si="18"/>
        <v>2031</v>
      </c>
      <c r="T81" s="58">
        <f t="shared" si="38"/>
        <v>181926.37567265567</v>
      </c>
      <c r="U81" s="58">
        <f t="shared" si="39"/>
        <v>-91166</v>
      </c>
      <c r="V81" s="58">
        <f t="shared" si="19"/>
        <v>1079.4298289910903</v>
      </c>
      <c r="W81" s="58">
        <f t="shared" si="20"/>
        <v>91839.80550164677</v>
      </c>
      <c r="X81" s="58">
        <f t="shared" si="21"/>
        <v>-90086.570171008905</v>
      </c>
      <c r="Z81" s="57">
        <f t="shared" si="22"/>
        <v>48044</v>
      </c>
      <c r="AA81" s="58">
        <f t="shared" si="4"/>
        <v>2031</v>
      </c>
      <c r="AB81" s="58">
        <f t="shared" si="23"/>
        <v>3759162.4661791236</v>
      </c>
      <c r="AC81" s="58">
        <f t="shared" si="24"/>
        <v>-34780.986771779273</v>
      </c>
      <c r="AD81" s="61">
        <f t="shared" si="5"/>
        <v>48075</v>
      </c>
      <c r="AE81" s="58">
        <f t="shared" si="6"/>
        <v>20362.130025136921</v>
      </c>
      <c r="AF81" s="58">
        <f t="shared" si="7"/>
        <v>3744743.6094324812</v>
      </c>
      <c r="AG81" s="58">
        <f t="shared" si="8"/>
        <v>14418.856746642385</v>
      </c>
      <c r="AI81" s="57"/>
      <c r="AJ81" s="58"/>
      <c r="AK81" s="58"/>
      <c r="AL81" s="58"/>
      <c r="AM81" s="58"/>
      <c r="AN81" s="58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S81" s="57">
        <v>45847</v>
      </c>
      <c r="BT81" s="64">
        <v>2025</v>
      </c>
      <c r="BU81" s="58">
        <f t="shared" si="63"/>
        <v>0</v>
      </c>
      <c r="BV81" s="58">
        <f t="shared" si="35"/>
        <v>0</v>
      </c>
      <c r="BW81" s="92">
        <v>-100</v>
      </c>
      <c r="BX81" s="13"/>
    </row>
    <row r="82" spans="2:76">
      <c r="B82" s="84"/>
      <c r="C82" s="2"/>
      <c r="D82" s="2"/>
      <c r="E82" s="2"/>
      <c r="F82" s="2"/>
      <c r="G82" s="2"/>
      <c r="J82" s="86"/>
      <c r="K82" s="58"/>
      <c r="L82" s="58"/>
      <c r="M82" s="58"/>
      <c r="N82" s="58"/>
      <c r="O82" s="58"/>
      <c r="R82" s="57">
        <f t="shared" si="37"/>
        <v>47866</v>
      </c>
      <c r="S82" s="58"/>
      <c r="T82" s="58">
        <f t="shared" si="38"/>
        <v>91839.80550164677</v>
      </c>
      <c r="U82" s="58">
        <f t="shared" si="39"/>
        <v>-91166</v>
      </c>
      <c r="V82" s="58">
        <f t="shared" si="19"/>
        <v>544.91617930977088</v>
      </c>
      <c r="W82" s="58">
        <f t="shared" si="20"/>
        <v>1218.7216809565407</v>
      </c>
      <c r="X82" s="58">
        <f t="shared" si="21"/>
        <v>-90621.083820690226</v>
      </c>
      <c r="Z82" s="57">
        <f t="shared" si="22"/>
        <v>48075</v>
      </c>
      <c r="AA82" s="58">
        <f t="shared" si="4"/>
        <v>2031</v>
      </c>
      <c r="AB82" s="58">
        <f t="shared" si="23"/>
        <v>3744743.6094324812</v>
      </c>
      <c r="AC82" s="58">
        <f t="shared" si="24"/>
        <v>-34780.986771779273</v>
      </c>
      <c r="AD82" s="61">
        <f t="shared" si="5"/>
        <v>48106</v>
      </c>
      <c r="AE82" s="58">
        <f t="shared" si="6"/>
        <v>20284.027884425941</v>
      </c>
      <c r="AF82" s="58">
        <f t="shared" si="7"/>
        <v>3730246.6505451282</v>
      </c>
      <c r="AG82" s="58">
        <f t="shared" si="8"/>
        <v>14496.958887353074</v>
      </c>
      <c r="AI82" s="57"/>
      <c r="AJ82" s="58"/>
      <c r="AK82" s="58"/>
      <c r="AL82" s="58"/>
      <c r="AM82" s="58"/>
      <c r="AN82" s="58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S82" s="13"/>
      <c r="BT82" s="13"/>
      <c r="BU82" s="13"/>
      <c r="BV82" s="13"/>
      <c r="BW82" s="13"/>
      <c r="BX82" s="13"/>
    </row>
    <row r="83" spans="2:76">
      <c r="B83" s="84"/>
      <c r="C83" s="2"/>
      <c r="D83" s="2"/>
      <c r="E83" s="2"/>
      <c r="F83" s="2"/>
      <c r="G83" s="2"/>
      <c r="J83" s="86"/>
      <c r="K83" s="58"/>
      <c r="L83" s="58"/>
      <c r="M83" s="58"/>
      <c r="N83" s="58"/>
      <c r="O83" s="58"/>
      <c r="Z83" s="57">
        <f t="shared" si="22"/>
        <v>48106</v>
      </c>
      <c r="AA83" s="58">
        <f t="shared" si="4"/>
        <v>2031</v>
      </c>
      <c r="AB83" s="58">
        <f t="shared" si="23"/>
        <v>3730246.6505451282</v>
      </c>
      <c r="AC83" s="58">
        <f t="shared" si="24"/>
        <v>-34780.986771779273</v>
      </c>
      <c r="AD83" s="61">
        <f t="shared" si="5"/>
        <v>48136</v>
      </c>
      <c r="AE83" s="58">
        <f t="shared" si="6"/>
        <v>20205.502690452777</v>
      </c>
      <c r="AF83" s="58">
        <f t="shared" si="7"/>
        <v>3715671.1664638016</v>
      </c>
      <c r="AG83" s="58">
        <f t="shared" si="8"/>
        <v>14575.484081326518</v>
      </c>
      <c r="AI83" s="57"/>
      <c r="AJ83" s="58"/>
      <c r="AK83" s="58"/>
      <c r="AL83" s="58"/>
      <c r="AM83" s="58"/>
      <c r="AN83" s="58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S83" s="13"/>
      <c r="BT83" s="13"/>
      <c r="BU83" s="13"/>
      <c r="BV83" s="13"/>
      <c r="BW83" s="13"/>
      <c r="BX83" s="13"/>
    </row>
    <row r="84" spans="2:76">
      <c r="B84" s="84"/>
      <c r="C84" s="2"/>
      <c r="D84" s="2"/>
      <c r="E84" s="2"/>
      <c r="F84" s="2"/>
      <c r="G84" s="2"/>
      <c r="J84" s="86"/>
      <c r="K84" s="58"/>
      <c r="L84" s="58"/>
      <c r="M84" s="58"/>
      <c r="N84" s="58"/>
      <c r="O84" s="58"/>
      <c r="Z84" s="57">
        <f t="shared" si="22"/>
        <v>48136</v>
      </c>
      <c r="AA84" s="58">
        <f t="shared" si="4"/>
        <v>2031</v>
      </c>
      <c r="AB84" s="58">
        <f t="shared" si="23"/>
        <v>3715671.1664638016</v>
      </c>
      <c r="AC84" s="58">
        <f t="shared" si="24"/>
        <v>-34780.986771779273</v>
      </c>
      <c r="AD84" s="61">
        <f t="shared" si="5"/>
        <v>48167</v>
      </c>
      <c r="AE84" s="58">
        <f t="shared" si="6"/>
        <v>20126.552151678927</v>
      </c>
      <c r="AF84" s="58">
        <f t="shared" si="7"/>
        <v>3701016.7318437016</v>
      </c>
      <c r="AG84" s="58">
        <f t="shared" si="8"/>
        <v>14654.434620100074</v>
      </c>
      <c r="AI84" s="57"/>
      <c r="AJ84" s="58"/>
      <c r="AK84" s="58"/>
      <c r="AL84" s="58"/>
      <c r="AM84" s="58"/>
      <c r="AN84" s="58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S84" s="13"/>
      <c r="BT84" s="13"/>
      <c r="BU84" s="13"/>
      <c r="BV84" s="13"/>
      <c r="BW84" s="13"/>
      <c r="BX84" s="13"/>
    </row>
    <row r="85" spans="2:76">
      <c r="B85" s="84"/>
      <c r="C85" s="2"/>
      <c r="D85" s="2"/>
      <c r="E85" s="2"/>
      <c r="F85" s="2"/>
      <c r="G85" s="2"/>
      <c r="J85" s="86"/>
      <c r="K85" s="58"/>
      <c r="L85" s="58"/>
      <c r="M85" s="58"/>
      <c r="N85" s="58"/>
      <c r="O85" s="58"/>
      <c r="Z85" s="57">
        <f t="shared" si="22"/>
        <v>48167</v>
      </c>
      <c r="AA85" s="58">
        <f t="shared" si="4"/>
        <v>2031</v>
      </c>
      <c r="AB85" s="58">
        <f t="shared" si="23"/>
        <v>3701016.7318437016</v>
      </c>
      <c r="AC85" s="58">
        <f t="shared" si="24"/>
        <v>-34780.986771779273</v>
      </c>
      <c r="AD85" s="61">
        <f t="shared" si="5"/>
        <v>48197</v>
      </c>
      <c r="AE85" s="58">
        <f t="shared" si="6"/>
        <v>20047.173964153386</v>
      </c>
      <c r="AF85" s="58">
        <f t="shared" si="7"/>
        <v>3686282.9190360759</v>
      </c>
      <c r="AG85" s="58">
        <f t="shared" si="8"/>
        <v>14733.812807625625</v>
      </c>
      <c r="AI85" s="57"/>
      <c r="AJ85" s="58"/>
      <c r="AK85" s="58"/>
      <c r="AL85" s="58"/>
      <c r="AM85" s="58"/>
      <c r="AN85" s="58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S85" s="13"/>
      <c r="BT85" s="13"/>
      <c r="BU85" s="13"/>
      <c r="BV85" s="13"/>
      <c r="BW85" s="13"/>
      <c r="BX85" s="13"/>
    </row>
    <row r="86" spans="2:76">
      <c r="B86" s="84"/>
      <c r="C86" s="2"/>
      <c r="D86" s="2"/>
      <c r="E86" s="2"/>
      <c r="F86" s="2"/>
      <c r="G86" s="2"/>
      <c r="J86" s="86"/>
      <c r="K86" s="58"/>
      <c r="L86" s="58"/>
      <c r="M86" s="58"/>
      <c r="N86" s="58"/>
      <c r="O86" s="58"/>
      <c r="Z86" s="57">
        <f t="shared" si="22"/>
        <v>48197</v>
      </c>
      <c r="AA86" s="58">
        <f t="shared" si="4"/>
        <v>2032</v>
      </c>
      <c r="AB86" s="58">
        <f t="shared" si="23"/>
        <v>3686282.9190360759</v>
      </c>
      <c r="AC86" s="58">
        <f t="shared" si="24"/>
        <v>-34780.986771779273</v>
      </c>
      <c r="AD86" s="61">
        <f t="shared" si="5"/>
        <v>48228</v>
      </c>
      <c r="AE86" s="58">
        <f t="shared" si="6"/>
        <v>19967.365811445412</v>
      </c>
      <c r="AF86" s="58">
        <f t="shared" si="7"/>
        <v>3671469.2980757421</v>
      </c>
      <c r="AG86" s="58">
        <f t="shared" si="8"/>
        <v>14813.62096033385</v>
      </c>
      <c r="AI86" s="57"/>
      <c r="AJ86" s="58"/>
      <c r="AK86" s="58"/>
      <c r="AL86" s="58"/>
      <c r="AM86" s="58"/>
      <c r="AN86" s="58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S86" s="13"/>
      <c r="BT86" s="13"/>
      <c r="BU86" s="13"/>
      <c r="BV86" s="13"/>
      <c r="BW86" s="13"/>
      <c r="BX86" s="13"/>
    </row>
    <row r="87" spans="2:76">
      <c r="B87" s="84"/>
      <c r="C87" s="2"/>
      <c r="D87" s="2"/>
      <c r="E87" s="2"/>
      <c r="F87" s="2"/>
      <c r="G87" s="2"/>
      <c r="J87" s="86"/>
      <c r="K87" s="58"/>
      <c r="L87" s="58"/>
      <c r="M87" s="58"/>
      <c r="N87" s="58"/>
      <c r="O87" s="58"/>
      <c r="Z87" s="57">
        <f t="shared" si="22"/>
        <v>48228</v>
      </c>
      <c r="AA87" s="58">
        <f t="shared" si="4"/>
        <v>2032</v>
      </c>
      <c r="AB87" s="58">
        <f t="shared" si="23"/>
        <v>3671469.2980757421</v>
      </c>
      <c r="AC87" s="58">
        <f t="shared" si="24"/>
        <v>-34780.986771779273</v>
      </c>
      <c r="AD87" s="61">
        <f t="shared" si="5"/>
        <v>48259</v>
      </c>
      <c r="AE87" s="58">
        <f t="shared" si="6"/>
        <v>19887.125364576936</v>
      </c>
      <c r="AF87" s="58">
        <f t="shared" si="7"/>
        <v>3656575.4366685399</v>
      </c>
      <c r="AG87" s="58">
        <f t="shared" si="8"/>
        <v>14893.861407202203</v>
      </c>
      <c r="AI87" s="57"/>
      <c r="AJ87" s="58"/>
      <c r="AK87" s="58"/>
      <c r="AL87" s="58"/>
      <c r="AM87" s="58"/>
      <c r="AN87" s="58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S87" s="13"/>
      <c r="BT87" s="13"/>
      <c r="BU87" s="13"/>
      <c r="BV87" s="13"/>
      <c r="BW87" s="13"/>
      <c r="BX87" s="13"/>
    </row>
    <row r="88" spans="2:76">
      <c r="B88" s="84"/>
      <c r="C88" s="2"/>
      <c r="D88" s="2"/>
      <c r="E88" s="2"/>
      <c r="F88" s="2"/>
      <c r="G88" s="2"/>
      <c r="J88" s="86"/>
      <c r="K88" s="58"/>
      <c r="L88" s="58"/>
      <c r="M88" s="58"/>
      <c r="N88" s="58"/>
      <c r="O88" s="58"/>
      <c r="Z88" s="57">
        <f t="shared" si="22"/>
        <v>48259</v>
      </c>
      <c r="AA88" s="58">
        <f t="shared" si="4"/>
        <v>2032</v>
      </c>
      <c r="AB88" s="58">
        <f t="shared" si="23"/>
        <v>3656575.4366685399</v>
      </c>
      <c r="AC88" s="58">
        <f t="shared" si="24"/>
        <v>-34780.986771779273</v>
      </c>
      <c r="AD88" s="61">
        <f t="shared" si="5"/>
        <v>48288</v>
      </c>
      <c r="AE88" s="58">
        <f t="shared" si="6"/>
        <v>19806.450281954592</v>
      </c>
      <c r="AF88" s="58">
        <f t="shared" si="7"/>
        <v>3641600.9001787151</v>
      </c>
      <c r="AG88" s="58">
        <f t="shared" si="8"/>
        <v>14974.536489824764</v>
      </c>
      <c r="AI88" s="57"/>
      <c r="AJ88" s="58"/>
      <c r="AK88" s="58"/>
      <c r="AL88" s="58"/>
      <c r="AM88" s="58"/>
      <c r="AN88" s="58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S88" s="13"/>
      <c r="BT88" s="13"/>
      <c r="BU88" s="13"/>
      <c r="BV88" s="13"/>
      <c r="BW88" s="13"/>
      <c r="BX88" s="13"/>
    </row>
    <row r="89" spans="2:76">
      <c r="B89" s="84"/>
      <c r="C89" s="2"/>
      <c r="D89" s="2"/>
      <c r="E89" s="2"/>
      <c r="F89" s="2"/>
      <c r="G89" s="2"/>
      <c r="J89" s="86"/>
      <c r="K89" s="58"/>
      <c r="L89" s="58"/>
      <c r="M89" s="58"/>
      <c r="N89" s="58"/>
      <c r="O89" s="58"/>
      <c r="Z89" s="57">
        <f t="shared" si="22"/>
        <v>48288</v>
      </c>
      <c r="AA89" s="58">
        <f t="shared" si="4"/>
        <v>2032</v>
      </c>
      <c r="AB89" s="58">
        <f t="shared" si="23"/>
        <v>3641600.9001787151</v>
      </c>
      <c r="AC89" s="58">
        <f t="shared" si="24"/>
        <v>-34780.986771779273</v>
      </c>
      <c r="AD89" s="61">
        <f t="shared" si="5"/>
        <v>48319</v>
      </c>
      <c r="AE89" s="58">
        <f t="shared" si="6"/>
        <v>19725.338209301375</v>
      </c>
      <c r="AF89" s="58">
        <f t="shared" si="7"/>
        <v>3626545.2516162372</v>
      </c>
      <c r="AG89" s="58">
        <f t="shared" si="8"/>
        <v>15055.648562477902</v>
      </c>
      <c r="AI89" s="57"/>
      <c r="AJ89" s="58"/>
      <c r="AK89" s="58"/>
      <c r="AL89" s="58"/>
      <c r="AM89" s="58"/>
      <c r="AN89" s="58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S89" s="13"/>
      <c r="BT89" s="13"/>
      <c r="BU89" s="13"/>
      <c r="BV89" s="13"/>
      <c r="BW89" s="13"/>
      <c r="BX89" s="13"/>
    </row>
    <row r="90" spans="2:76">
      <c r="B90" s="84"/>
      <c r="C90" s="2"/>
      <c r="D90" s="2"/>
      <c r="E90" s="2"/>
      <c r="F90" s="2"/>
      <c r="G90" s="2"/>
      <c r="J90" s="86"/>
      <c r="K90" s="58"/>
      <c r="L90" s="58"/>
      <c r="M90" s="58"/>
      <c r="N90" s="58"/>
      <c r="O90" s="58"/>
      <c r="Z90" s="57">
        <f t="shared" si="22"/>
        <v>48319</v>
      </c>
      <c r="AA90" s="58">
        <f t="shared" si="4"/>
        <v>2032</v>
      </c>
      <c r="AB90" s="58">
        <f t="shared" si="23"/>
        <v>3626545.2516162372</v>
      </c>
      <c r="AC90" s="58">
        <f t="shared" si="24"/>
        <v>-34780.986771779273</v>
      </c>
      <c r="AD90" s="61">
        <f t="shared" si="5"/>
        <v>48349</v>
      </c>
      <c r="AE90" s="58">
        <f t="shared" si="6"/>
        <v>19643.786779587954</v>
      </c>
      <c r="AF90" s="58">
        <f t="shared" si="7"/>
        <v>3611408.0516240462</v>
      </c>
      <c r="AG90" s="58">
        <f t="shared" si="8"/>
        <v>15137.199992191046</v>
      </c>
      <c r="AI90" s="57"/>
      <c r="AJ90" s="58"/>
      <c r="AK90" s="58"/>
      <c r="AL90" s="58"/>
      <c r="AM90" s="58"/>
      <c r="AN90" s="58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S90" s="13"/>
      <c r="BT90" s="13"/>
      <c r="BU90" s="13"/>
      <c r="BV90" s="13"/>
      <c r="BW90" s="13"/>
      <c r="BX90" s="13"/>
    </row>
    <row r="91" spans="2:76">
      <c r="J91" s="86"/>
      <c r="K91" s="58"/>
      <c r="L91" s="58"/>
      <c r="M91" s="58"/>
      <c r="N91" s="58"/>
      <c r="O91" s="58"/>
      <c r="Z91" s="57">
        <f t="shared" si="22"/>
        <v>48349</v>
      </c>
      <c r="AA91" s="58">
        <f t="shared" si="4"/>
        <v>2032</v>
      </c>
      <c r="AB91" s="58">
        <f t="shared" si="23"/>
        <v>3611408.0516240462</v>
      </c>
      <c r="AC91" s="58">
        <f t="shared" si="24"/>
        <v>-34780.986771779273</v>
      </c>
      <c r="AD91" s="61">
        <f t="shared" si="5"/>
        <v>48380</v>
      </c>
      <c r="AE91" s="58">
        <f t="shared" si="6"/>
        <v>19561.793612963585</v>
      </c>
      <c r="AF91" s="58">
        <f t="shared" si="7"/>
        <v>3596188.8584652306</v>
      </c>
      <c r="AG91" s="58">
        <f t="shared" si="8"/>
        <v>15219.193158815615</v>
      </c>
      <c r="AI91" s="57"/>
      <c r="AJ91" s="58"/>
      <c r="AK91" s="58"/>
      <c r="AL91" s="58"/>
      <c r="AM91" s="58"/>
      <c r="AN91" s="58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S91" s="13"/>
      <c r="BT91" s="13"/>
      <c r="BU91" s="13"/>
      <c r="BV91" s="13"/>
      <c r="BW91" s="13"/>
      <c r="BX91" s="13"/>
    </row>
    <row r="92" spans="2:76">
      <c r="J92" s="86"/>
      <c r="K92" s="58"/>
      <c r="L92" s="58"/>
      <c r="M92" s="58"/>
      <c r="N92" s="58"/>
      <c r="O92" s="58"/>
      <c r="Z92" s="57">
        <f t="shared" si="22"/>
        <v>48380</v>
      </c>
      <c r="AA92" s="58">
        <f t="shared" si="4"/>
        <v>2032</v>
      </c>
      <c r="AB92" s="58">
        <f t="shared" si="23"/>
        <v>3596188.8584652306</v>
      </c>
      <c r="AC92" s="58">
        <f t="shared" si="24"/>
        <v>-34780.986771779273</v>
      </c>
      <c r="AD92" s="61">
        <f t="shared" si="5"/>
        <v>48410</v>
      </c>
      <c r="AE92" s="58">
        <f t="shared" si="6"/>
        <v>19479.356316686666</v>
      </c>
      <c r="AF92" s="58">
        <f t="shared" si="7"/>
        <v>3580887.228010138</v>
      </c>
      <c r="AG92" s="58">
        <f t="shared" si="8"/>
        <v>15301.630455092527</v>
      </c>
      <c r="AI92" s="57"/>
      <c r="AJ92" s="58"/>
      <c r="AK92" s="58"/>
      <c r="AL92" s="58"/>
      <c r="AM92" s="58"/>
      <c r="AN92" s="58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S92" s="13"/>
      <c r="BT92" s="13"/>
      <c r="BU92" s="13"/>
      <c r="BV92" s="13"/>
      <c r="BW92" s="13"/>
      <c r="BX92" s="13"/>
    </row>
    <row r="93" spans="2:76">
      <c r="J93" s="86"/>
      <c r="K93" s="58"/>
      <c r="L93" s="58"/>
      <c r="M93" s="58"/>
      <c r="N93" s="58"/>
      <c r="O93" s="58"/>
      <c r="Z93" s="57">
        <f t="shared" si="22"/>
        <v>48410</v>
      </c>
      <c r="AA93" s="58">
        <f t="shared" si="4"/>
        <v>2032</v>
      </c>
      <c r="AB93" s="58">
        <f t="shared" si="23"/>
        <v>3580887.228010138</v>
      </c>
      <c r="AC93" s="58">
        <f t="shared" si="24"/>
        <v>-34780.986771779273</v>
      </c>
      <c r="AD93" s="61">
        <f t="shared" si="5"/>
        <v>48441</v>
      </c>
      <c r="AE93" s="58">
        <f t="shared" si="6"/>
        <v>19396.472485054914</v>
      </c>
      <c r="AF93" s="58">
        <f t="shared" si="7"/>
        <v>3565502.7137234136</v>
      </c>
      <c r="AG93" s="58">
        <f t="shared" si="8"/>
        <v>15384.514286724385</v>
      </c>
      <c r="AI93" s="57"/>
      <c r="AJ93" s="58"/>
      <c r="AK93" s="58"/>
      <c r="AL93" s="58"/>
      <c r="AM93" s="58"/>
      <c r="AN93" s="58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S93" s="13"/>
      <c r="BT93" s="13"/>
      <c r="BU93" s="13"/>
      <c r="BV93" s="13"/>
      <c r="BW93" s="13"/>
      <c r="BX93" s="13"/>
    </row>
    <row r="94" spans="2:76">
      <c r="J94" s="86"/>
      <c r="K94" s="58"/>
      <c r="L94" s="58"/>
      <c r="M94" s="58"/>
      <c r="N94" s="58"/>
      <c r="O94" s="58"/>
      <c r="Z94" s="57">
        <f t="shared" si="22"/>
        <v>48441</v>
      </c>
      <c r="AA94" s="58">
        <f t="shared" si="4"/>
        <v>2032</v>
      </c>
      <c r="AB94" s="58">
        <f t="shared" si="23"/>
        <v>3565502.7137234136</v>
      </c>
      <c r="AC94" s="58">
        <f t="shared" si="24"/>
        <v>-34780.986771779273</v>
      </c>
      <c r="AD94" s="61">
        <f t="shared" si="5"/>
        <v>48472</v>
      </c>
      <c r="AE94" s="58">
        <f t="shared" si="6"/>
        <v>19313.139699335159</v>
      </c>
      <c r="AF94" s="58">
        <f t="shared" si="7"/>
        <v>3550034.8666509697</v>
      </c>
      <c r="AG94" s="58">
        <f t="shared" si="8"/>
        <v>15467.847072443925</v>
      </c>
      <c r="AI94" s="57"/>
      <c r="AJ94" s="58"/>
      <c r="AK94" s="58"/>
      <c r="AL94" s="58"/>
      <c r="AM94" s="58"/>
      <c r="AN94" s="58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S94" s="13"/>
      <c r="BT94" s="13"/>
      <c r="BU94" s="13"/>
      <c r="BV94" s="13"/>
      <c r="BW94" s="13"/>
      <c r="BX94" s="13"/>
    </row>
    <row r="95" spans="2:76">
      <c r="J95" s="86"/>
      <c r="K95" s="58"/>
      <c r="L95" s="58"/>
      <c r="M95" s="58"/>
      <c r="N95" s="58"/>
      <c r="O95" s="58"/>
      <c r="Z95" s="57">
        <f t="shared" si="22"/>
        <v>48472</v>
      </c>
      <c r="AA95" s="58">
        <f t="shared" si="4"/>
        <v>2032</v>
      </c>
      <c r="AB95" s="58">
        <f t="shared" si="23"/>
        <v>3550034.8666509697</v>
      </c>
      <c r="AC95" s="58">
        <f t="shared" si="24"/>
        <v>-34780.986771779273</v>
      </c>
      <c r="AD95" s="61">
        <f t="shared" si="5"/>
        <v>48502</v>
      </c>
      <c r="AE95" s="58">
        <f t="shared" si="6"/>
        <v>19229.355527692755</v>
      </c>
      <c r="AF95" s="58">
        <f t="shared" si="7"/>
        <v>3534483.2354068835</v>
      </c>
      <c r="AG95" s="58">
        <f t="shared" si="8"/>
        <v>15551.631244086195</v>
      </c>
      <c r="AI95" s="57"/>
      <c r="AJ95" s="58"/>
      <c r="AK95" s="58"/>
      <c r="AL95" s="58"/>
      <c r="AM95" s="58"/>
      <c r="AN95" s="58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S95" s="13"/>
      <c r="BT95" s="13"/>
      <c r="BU95" s="13"/>
      <c r="BV95" s="13"/>
      <c r="BW95" s="13"/>
      <c r="BX95" s="13"/>
    </row>
    <row r="96" spans="2:76">
      <c r="J96" s="86"/>
      <c r="K96" s="58"/>
      <c r="L96" s="58"/>
      <c r="M96" s="58"/>
      <c r="N96" s="58"/>
      <c r="O96" s="58"/>
      <c r="Z96" s="57">
        <f t="shared" si="22"/>
        <v>48502</v>
      </c>
      <c r="AA96" s="58">
        <f t="shared" si="4"/>
        <v>2032</v>
      </c>
      <c r="AB96" s="58">
        <f t="shared" si="23"/>
        <v>3534483.2354068835</v>
      </c>
      <c r="AC96" s="58">
        <f t="shared" si="24"/>
        <v>-34780.986771779273</v>
      </c>
      <c r="AD96" s="61">
        <f t="shared" si="5"/>
        <v>48533</v>
      </c>
      <c r="AE96" s="58">
        <f t="shared" si="6"/>
        <v>19145.117525120619</v>
      </c>
      <c r="AF96" s="58">
        <f t="shared" si="7"/>
        <v>3518847.3661602251</v>
      </c>
      <c r="AG96" s="58">
        <f t="shared" si="8"/>
        <v>15635.869246658403</v>
      </c>
      <c r="AI96" s="57"/>
      <c r="AJ96" s="58"/>
      <c r="AK96" s="58"/>
      <c r="AL96" s="58"/>
      <c r="AM96" s="58"/>
      <c r="AN96" s="58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S96" s="13"/>
      <c r="BT96" s="13"/>
      <c r="BU96" s="13"/>
      <c r="BV96" s="13"/>
      <c r="BW96" s="13"/>
      <c r="BX96" s="13"/>
    </row>
    <row r="97" spans="10:76">
      <c r="J97" s="86"/>
      <c r="K97" s="58"/>
      <c r="L97" s="58"/>
      <c r="M97" s="58"/>
      <c r="N97" s="58"/>
      <c r="O97" s="58"/>
      <c r="Z97" s="57">
        <f t="shared" si="22"/>
        <v>48533</v>
      </c>
      <c r="AA97" s="58">
        <f t="shared" si="4"/>
        <v>2032</v>
      </c>
      <c r="AB97" s="58">
        <f t="shared" si="23"/>
        <v>3518847.3661602251</v>
      </c>
      <c r="AC97" s="58">
        <f t="shared" si="24"/>
        <v>-34780.986771779273</v>
      </c>
      <c r="AD97" s="61">
        <f t="shared" si="5"/>
        <v>48563</v>
      </c>
      <c r="AE97" s="58">
        <f t="shared" si="6"/>
        <v>19060.423233367888</v>
      </c>
      <c r="AF97" s="58">
        <f t="shared" si="7"/>
        <v>3503126.802621814</v>
      </c>
      <c r="AG97" s="58">
        <f t="shared" si="8"/>
        <v>15720.563538411167</v>
      </c>
      <c r="AI97" s="57"/>
      <c r="AJ97" s="58"/>
      <c r="AK97" s="58"/>
      <c r="AL97" s="58"/>
      <c r="AM97" s="58"/>
      <c r="AN97" s="58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S97" s="13"/>
      <c r="BT97" s="13"/>
      <c r="BU97" s="13"/>
      <c r="BV97" s="13"/>
      <c r="BW97" s="13"/>
      <c r="BX97" s="13"/>
    </row>
    <row r="98" spans="10:76">
      <c r="J98" s="86"/>
      <c r="K98" s="58"/>
      <c r="L98" s="58"/>
      <c r="M98" s="58"/>
      <c r="N98" s="58"/>
      <c r="O98" s="58"/>
      <c r="Z98" s="57">
        <f t="shared" si="22"/>
        <v>48563</v>
      </c>
      <c r="AA98" s="58">
        <f t="shared" si="4"/>
        <v>2033</v>
      </c>
      <c r="AB98" s="58">
        <f t="shared" si="23"/>
        <v>3503126.802621814</v>
      </c>
      <c r="AC98" s="58">
        <f t="shared" si="24"/>
        <v>-34780.986771779273</v>
      </c>
      <c r="AD98" s="61">
        <f t="shared" si="5"/>
        <v>48594</v>
      </c>
      <c r="AE98" s="58">
        <f t="shared" si="6"/>
        <v>18975.27018086816</v>
      </c>
      <c r="AF98" s="58">
        <f t="shared" si="7"/>
        <v>3487321.0860309028</v>
      </c>
      <c r="AG98" s="58">
        <f t="shared" si="8"/>
        <v>15805.71659091115</v>
      </c>
      <c r="AI98" s="57"/>
      <c r="AJ98" s="58"/>
      <c r="AK98" s="58"/>
      <c r="AL98" s="58"/>
      <c r="AM98" s="58"/>
      <c r="AN98" s="58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spans="10:76">
      <c r="J99" s="86"/>
      <c r="K99" s="58"/>
      <c r="L99" s="58"/>
      <c r="M99" s="58"/>
      <c r="N99" s="58"/>
      <c r="O99" s="58"/>
      <c r="Z99" s="57">
        <f t="shared" si="22"/>
        <v>48594</v>
      </c>
      <c r="AA99" s="58">
        <f t="shared" si="4"/>
        <v>2033</v>
      </c>
      <c r="AB99" s="58">
        <f t="shared" si="23"/>
        <v>3487321.0860309028</v>
      </c>
      <c r="AC99" s="58">
        <f t="shared" si="24"/>
        <v>-34780.986771779273</v>
      </c>
      <c r="AD99" s="61">
        <f t="shared" si="5"/>
        <v>48625</v>
      </c>
      <c r="AE99" s="58">
        <f t="shared" si="6"/>
        <v>18889.65588266739</v>
      </c>
      <c r="AF99" s="58">
        <f t="shared" si="7"/>
        <v>3471429.755141791</v>
      </c>
      <c r="AG99" s="58">
        <f t="shared" si="8"/>
        <v>15891.33088911185</v>
      </c>
      <c r="AI99" s="57"/>
      <c r="AJ99" s="58"/>
      <c r="AK99" s="58"/>
      <c r="AL99" s="58"/>
      <c r="AM99" s="58"/>
      <c r="AN99" s="58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spans="10:76">
      <c r="J100" s="86"/>
      <c r="K100" s="58"/>
      <c r="L100" s="58"/>
      <c r="M100" s="58"/>
      <c r="N100" s="58"/>
      <c r="O100" s="58"/>
      <c r="Z100" s="57">
        <f t="shared" si="22"/>
        <v>48625</v>
      </c>
      <c r="AA100" s="58">
        <f t="shared" si="4"/>
        <v>2033</v>
      </c>
      <c r="AB100" s="58">
        <f t="shared" si="23"/>
        <v>3471429.755141791</v>
      </c>
      <c r="AC100" s="58">
        <f t="shared" si="24"/>
        <v>-34780.986771779273</v>
      </c>
      <c r="AD100" s="61">
        <f t="shared" si="5"/>
        <v>48653</v>
      </c>
      <c r="AE100" s="58">
        <f t="shared" si="6"/>
        <v>18803.577840351369</v>
      </c>
      <c r="AF100" s="58">
        <f t="shared" si="7"/>
        <v>3455452.3462103633</v>
      </c>
      <c r="AG100" s="58">
        <f t="shared" si="8"/>
        <v>15977.408931427635</v>
      </c>
      <c r="AI100" s="57"/>
      <c r="AJ100" s="58"/>
      <c r="AK100" s="58"/>
      <c r="AL100" s="58"/>
      <c r="AM100" s="58"/>
      <c r="AN100" s="58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spans="10:76">
      <c r="J101" s="86"/>
      <c r="K101" s="58"/>
      <c r="L101" s="58"/>
      <c r="M101" s="58"/>
      <c r="N101" s="58"/>
      <c r="O101" s="58"/>
      <c r="Z101" s="57">
        <f t="shared" si="22"/>
        <v>48653</v>
      </c>
      <c r="AA101" s="58">
        <f t="shared" si="4"/>
        <v>2033</v>
      </c>
      <c r="AB101" s="58">
        <f t="shared" si="23"/>
        <v>3455452.3462103633</v>
      </c>
      <c r="AC101" s="58">
        <f t="shared" si="24"/>
        <v>-34780.986771779273</v>
      </c>
      <c r="AD101" s="61">
        <f t="shared" si="5"/>
        <v>48684</v>
      </c>
      <c r="AE101" s="58">
        <f t="shared" si="6"/>
        <v>18717.033541972804</v>
      </c>
      <c r="AF101" s="58">
        <f t="shared" si="7"/>
        <v>3439388.3929805569</v>
      </c>
      <c r="AG101" s="58">
        <f t="shared" si="8"/>
        <v>16063.953229806386</v>
      </c>
      <c r="AI101" s="57"/>
      <c r="AJ101" s="58"/>
      <c r="AK101" s="58"/>
      <c r="AL101" s="58"/>
      <c r="AM101" s="58"/>
      <c r="AN101" s="58"/>
    </row>
    <row r="102" spans="10:76">
      <c r="J102" s="86"/>
      <c r="K102" s="58"/>
      <c r="L102" s="58"/>
      <c r="M102" s="58"/>
      <c r="N102" s="58"/>
      <c r="O102" s="58"/>
      <c r="Z102" s="57">
        <f t="shared" si="22"/>
        <v>48684</v>
      </c>
      <c r="AA102" s="58">
        <f t="shared" si="4"/>
        <v>2033</v>
      </c>
      <c r="AB102" s="58">
        <f t="shared" si="23"/>
        <v>3439388.3929805569</v>
      </c>
      <c r="AC102" s="58">
        <f t="shared" si="24"/>
        <v>-34780.986771779273</v>
      </c>
      <c r="AD102" s="61">
        <f t="shared" si="5"/>
        <v>48714</v>
      </c>
      <c r="AE102" s="58">
        <f t="shared" si="6"/>
        <v>18630.020461978016</v>
      </c>
      <c r="AF102" s="58">
        <f t="shared" si="7"/>
        <v>3423237.4266707557</v>
      </c>
      <c r="AG102" s="58">
        <f t="shared" si="8"/>
        <v>16150.96630980121</v>
      </c>
      <c r="AI102" s="57"/>
      <c r="AJ102" s="58"/>
      <c r="AK102" s="58"/>
      <c r="AL102" s="58"/>
      <c r="AM102" s="58"/>
      <c r="AN102" s="58"/>
    </row>
    <row r="103" spans="10:76">
      <c r="J103" s="86"/>
      <c r="K103" s="58"/>
      <c r="L103" s="58"/>
      <c r="M103" s="58"/>
      <c r="N103" s="58"/>
      <c r="O103" s="58"/>
      <c r="Z103" s="57">
        <f t="shared" si="22"/>
        <v>48714</v>
      </c>
      <c r="AA103" s="58">
        <f t="shared" si="4"/>
        <v>2033</v>
      </c>
      <c r="AB103" s="58">
        <f t="shared" si="23"/>
        <v>3423237.4266707557</v>
      </c>
      <c r="AC103" s="58">
        <f t="shared" si="24"/>
        <v>-34780.986771779273</v>
      </c>
      <c r="AD103" s="61">
        <f t="shared" si="5"/>
        <v>48745</v>
      </c>
      <c r="AE103" s="58">
        <f t="shared" si="6"/>
        <v>18542.536061133262</v>
      </c>
      <c r="AF103" s="58">
        <f t="shared" si="7"/>
        <v>3406998.9759601098</v>
      </c>
      <c r="AG103" s="58">
        <f t="shared" si="8"/>
        <v>16238.450710645877</v>
      </c>
      <c r="AI103" s="57"/>
      <c r="AJ103" s="58"/>
      <c r="AK103" s="58"/>
      <c r="AL103" s="58"/>
      <c r="AM103" s="58"/>
      <c r="AN103" s="58"/>
    </row>
    <row r="104" spans="10:76">
      <c r="J104" s="86"/>
      <c r="K104" s="58"/>
      <c r="L104" s="58"/>
      <c r="M104" s="58"/>
      <c r="N104" s="58"/>
      <c r="O104" s="58"/>
      <c r="Z104" s="57">
        <f t="shared" si="22"/>
        <v>48745</v>
      </c>
      <c r="AA104" s="58">
        <f t="shared" si="4"/>
        <v>2033</v>
      </c>
      <c r="AB104" s="58">
        <f t="shared" si="23"/>
        <v>3406998.9759601098</v>
      </c>
      <c r="AC104" s="58">
        <f t="shared" si="24"/>
        <v>-34780.986771779273</v>
      </c>
      <c r="AD104" s="61">
        <f t="shared" si="5"/>
        <v>48775</v>
      </c>
      <c r="AE104" s="58">
        <f t="shared" si="6"/>
        <v>18454.577786450594</v>
      </c>
      <c r="AF104" s="58">
        <f t="shared" si="7"/>
        <v>3390672.5669747815</v>
      </c>
      <c r="AG104" s="58">
        <f t="shared" si="8"/>
        <v>16326.408985328395</v>
      </c>
      <c r="AI104" s="57"/>
      <c r="AJ104" s="58"/>
      <c r="AK104" s="58"/>
      <c r="AL104" s="58"/>
      <c r="AM104" s="58"/>
      <c r="AN104" s="58"/>
    </row>
    <row r="105" spans="10:76">
      <c r="J105" s="86"/>
      <c r="K105" s="58"/>
      <c r="L105" s="58"/>
      <c r="M105" s="58"/>
      <c r="N105" s="58"/>
      <c r="O105" s="58"/>
      <c r="Z105" s="57">
        <f t="shared" si="22"/>
        <v>48775</v>
      </c>
      <c r="AA105" s="58">
        <f t="shared" si="4"/>
        <v>2033</v>
      </c>
      <c r="AB105" s="58">
        <f t="shared" si="23"/>
        <v>3390672.5669747815</v>
      </c>
      <c r="AC105" s="58">
        <f t="shared" si="24"/>
        <v>-34780.986771779273</v>
      </c>
      <c r="AD105" s="61">
        <f t="shared" si="5"/>
        <v>48806</v>
      </c>
      <c r="AE105" s="58">
        <f t="shared" si="6"/>
        <v>18366.143071113402</v>
      </c>
      <c r="AF105" s="58">
        <f t="shared" si="7"/>
        <v>3374257.7232741159</v>
      </c>
      <c r="AG105" s="58">
        <f t="shared" si="8"/>
        <v>16414.843700665515</v>
      </c>
      <c r="AI105" s="57"/>
      <c r="AJ105" s="58"/>
      <c r="AK105" s="58"/>
      <c r="AL105" s="58"/>
      <c r="AM105" s="58"/>
      <c r="AN105" s="58"/>
    </row>
    <row r="106" spans="10:76">
      <c r="J106" s="86"/>
      <c r="K106" s="58"/>
      <c r="L106" s="58"/>
      <c r="M106" s="58"/>
      <c r="N106" s="58"/>
      <c r="O106" s="58"/>
      <c r="Z106" s="57">
        <f t="shared" si="22"/>
        <v>48806</v>
      </c>
      <c r="AA106" s="58">
        <f t="shared" si="4"/>
        <v>2033</v>
      </c>
      <c r="AB106" s="58">
        <f t="shared" si="23"/>
        <v>3374257.7232741159</v>
      </c>
      <c r="AC106" s="58">
        <f t="shared" si="24"/>
        <v>-34780.986771779273</v>
      </c>
      <c r="AD106" s="61">
        <f t="shared" si="5"/>
        <v>48837</v>
      </c>
      <c r="AE106" s="58">
        <f t="shared" si="6"/>
        <v>18277.229334401462</v>
      </c>
      <c r="AF106" s="58">
        <f t="shared" si="7"/>
        <v>3357753.9658367382</v>
      </c>
      <c r="AG106" s="58">
        <f t="shared" si="8"/>
        <v>16503.757437377702</v>
      </c>
      <c r="AI106" s="57"/>
      <c r="AJ106" s="58"/>
      <c r="AK106" s="58"/>
      <c r="AL106" s="58"/>
      <c r="AM106" s="58"/>
      <c r="AN106" s="58"/>
    </row>
    <row r="107" spans="10:76">
      <c r="J107" s="86"/>
      <c r="K107" s="58"/>
      <c r="L107" s="58"/>
      <c r="M107" s="58"/>
      <c r="N107" s="58"/>
      <c r="O107" s="58"/>
      <c r="Z107" s="57">
        <f t="shared" si="22"/>
        <v>48837</v>
      </c>
      <c r="AA107" s="58">
        <f t="shared" si="4"/>
        <v>2033</v>
      </c>
      <c r="AB107" s="58">
        <f t="shared" si="23"/>
        <v>3357753.9658367382</v>
      </c>
      <c r="AC107" s="58">
        <f t="shared" si="24"/>
        <v>-34780.986771779273</v>
      </c>
      <c r="AD107" s="61">
        <f t="shared" si="5"/>
        <v>48867</v>
      </c>
      <c r="AE107" s="58">
        <f t="shared" si="6"/>
        <v>18187.833981615666</v>
      </c>
      <c r="AF107" s="58">
        <f t="shared" si="7"/>
        <v>3341160.8130465746</v>
      </c>
      <c r="AG107" s="58">
        <f t="shared" si="8"/>
        <v>16593.152790163644</v>
      </c>
      <c r="AI107" s="57"/>
      <c r="AJ107" s="58"/>
      <c r="AK107" s="58"/>
      <c r="AL107" s="58"/>
      <c r="AM107" s="58"/>
      <c r="AN107" s="58"/>
    </row>
    <row r="108" spans="10:76">
      <c r="J108" s="86"/>
      <c r="K108" s="58"/>
      <c r="L108" s="58"/>
      <c r="M108" s="58"/>
      <c r="N108" s="58"/>
      <c r="O108" s="58"/>
      <c r="Z108" s="57">
        <f t="shared" si="22"/>
        <v>48867</v>
      </c>
      <c r="AA108" s="58">
        <f t="shared" si="4"/>
        <v>2033</v>
      </c>
      <c r="AB108" s="58">
        <f t="shared" si="23"/>
        <v>3341160.8130465746</v>
      </c>
      <c r="AC108" s="58">
        <f t="shared" si="24"/>
        <v>-34780.986771779273</v>
      </c>
      <c r="AD108" s="61">
        <f t="shared" si="5"/>
        <v>48898</v>
      </c>
      <c r="AE108" s="58">
        <f t="shared" si="6"/>
        <v>18097.954404002281</v>
      </c>
      <c r="AF108" s="58">
        <f t="shared" si="7"/>
        <v>3324477.7806787975</v>
      </c>
      <c r="AG108" s="58">
        <f t="shared" si="8"/>
        <v>16683.032367777079</v>
      </c>
      <c r="AI108" s="57"/>
      <c r="AJ108" s="58"/>
      <c r="AK108" s="58"/>
      <c r="AL108" s="58"/>
      <c r="AM108" s="58"/>
      <c r="AN108" s="58"/>
    </row>
    <row r="109" spans="10:76">
      <c r="J109" s="86"/>
      <c r="K109" s="58"/>
      <c r="L109" s="58"/>
      <c r="M109" s="58"/>
      <c r="N109" s="58"/>
      <c r="O109" s="58"/>
      <c r="Z109" s="57">
        <f t="shared" si="22"/>
        <v>48898</v>
      </c>
      <c r="AA109" s="58">
        <f t="shared" si="4"/>
        <v>2033</v>
      </c>
      <c r="AB109" s="58">
        <f t="shared" si="23"/>
        <v>3324477.7806787975</v>
      </c>
      <c r="AC109" s="58">
        <f t="shared" si="24"/>
        <v>-34780.986771779273</v>
      </c>
      <c r="AD109" s="61">
        <f t="shared" si="5"/>
        <v>48928</v>
      </c>
      <c r="AE109" s="58">
        <f t="shared" si="6"/>
        <v>18007.58797867682</v>
      </c>
      <c r="AF109" s="58">
        <f t="shared" si="7"/>
        <v>3307704.3818856953</v>
      </c>
      <c r="AG109" s="58">
        <f t="shared" si="8"/>
        <v>16773.398793102242</v>
      </c>
      <c r="AI109" s="57"/>
      <c r="AJ109" s="58"/>
      <c r="AK109" s="58"/>
      <c r="AL109" s="58"/>
      <c r="AM109" s="58"/>
      <c r="AN109" s="58"/>
    </row>
    <row r="110" spans="10:76">
      <c r="J110" s="86"/>
      <c r="K110" s="58"/>
      <c r="L110" s="58"/>
      <c r="M110" s="58"/>
      <c r="N110" s="58"/>
      <c r="O110" s="58"/>
      <c r="Z110" s="57">
        <f t="shared" si="22"/>
        <v>48928</v>
      </c>
      <c r="AA110" s="58">
        <f t="shared" si="4"/>
        <v>2034</v>
      </c>
      <c r="AB110" s="58">
        <f t="shared" si="23"/>
        <v>3307704.3818856953</v>
      </c>
      <c r="AC110" s="58">
        <f t="shared" si="24"/>
        <v>-34780.986771779273</v>
      </c>
      <c r="AD110" s="61">
        <f t="shared" si="5"/>
        <v>48959</v>
      </c>
      <c r="AE110" s="58">
        <f t="shared" si="6"/>
        <v>17916.732068547517</v>
      </c>
      <c r="AF110" s="58">
        <f t="shared" si="7"/>
        <v>3290840.1271824636</v>
      </c>
      <c r="AG110" s="58">
        <f t="shared" si="8"/>
        <v>16864.254703231622</v>
      </c>
      <c r="AI110" s="57"/>
      <c r="AJ110" s="58"/>
      <c r="AK110" s="58"/>
      <c r="AL110" s="58"/>
      <c r="AM110" s="58"/>
      <c r="AN110" s="58"/>
    </row>
    <row r="111" spans="10:76">
      <c r="J111" s="86"/>
      <c r="K111" s="58"/>
      <c r="L111" s="58"/>
      <c r="M111" s="58"/>
      <c r="N111" s="58"/>
      <c r="O111" s="58"/>
      <c r="Z111" s="57">
        <f t="shared" si="22"/>
        <v>48959</v>
      </c>
      <c r="AA111" s="58">
        <f t="shared" si="4"/>
        <v>2034</v>
      </c>
      <c r="AB111" s="58">
        <f t="shared" si="23"/>
        <v>3290840.1271824636</v>
      </c>
      <c r="AC111" s="58">
        <f t="shared" si="24"/>
        <v>-34780.986771779273</v>
      </c>
      <c r="AD111" s="61">
        <f t="shared" si="5"/>
        <v>48990</v>
      </c>
      <c r="AE111" s="58">
        <f t="shared" si="6"/>
        <v>17825.384022238344</v>
      </c>
      <c r="AF111" s="58">
        <f t="shared" si="7"/>
        <v>3273884.5244329227</v>
      </c>
      <c r="AG111" s="58">
        <f t="shared" si="8"/>
        <v>16955.602749540936</v>
      </c>
      <c r="AI111" s="57"/>
      <c r="AJ111" s="58"/>
      <c r="AK111" s="58"/>
      <c r="AL111" s="58"/>
      <c r="AM111" s="58"/>
      <c r="AN111" s="58"/>
    </row>
    <row r="112" spans="10:76">
      <c r="J112" s="86"/>
      <c r="K112" s="58"/>
      <c r="L112" s="58"/>
      <c r="M112" s="58"/>
      <c r="N112" s="58"/>
      <c r="O112" s="58"/>
      <c r="Z112" s="57">
        <f t="shared" si="22"/>
        <v>48990</v>
      </c>
      <c r="AA112" s="58">
        <f t="shared" si="4"/>
        <v>2034</v>
      </c>
      <c r="AB112" s="58">
        <f t="shared" si="23"/>
        <v>3273884.5244329227</v>
      </c>
      <c r="AC112" s="58">
        <f t="shared" si="24"/>
        <v>-34780.986771779273</v>
      </c>
      <c r="AD112" s="61">
        <f t="shared" si="5"/>
        <v>49018</v>
      </c>
      <c r="AE112" s="58">
        <f t="shared" si="6"/>
        <v>17733.541174011665</v>
      </c>
      <c r="AF112" s="58">
        <f t="shared" si="7"/>
        <v>3256837.0788351553</v>
      </c>
      <c r="AG112" s="58">
        <f t="shared" si="8"/>
        <v>17047.445597767364</v>
      </c>
      <c r="AI112" s="57"/>
      <c r="AJ112" s="58"/>
      <c r="AK112" s="58"/>
      <c r="AL112" s="58"/>
      <c r="AM112" s="58"/>
      <c r="AN112" s="58"/>
    </row>
    <row r="113" spans="10:40">
      <c r="J113" s="86"/>
      <c r="K113" s="58"/>
      <c r="L113" s="58"/>
      <c r="M113" s="58"/>
      <c r="N113" s="58"/>
      <c r="O113" s="58"/>
      <c r="Z113" s="57">
        <f t="shared" si="22"/>
        <v>49018</v>
      </c>
      <c r="AA113" s="58">
        <f t="shared" si="4"/>
        <v>2034</v>
      </c>
      <c r="AB113" s="58">
        <f t="shared" si="23"/>
        <v>3256837.0788351553</v>
      </c>
      <c r="AC113" s="58">
        <f t="shared" si="24"/>
        <v>-34780.986771779273</v>
      </c>
      <c r="AD113" s="61">
        <f t="shared" si="5"/>
        <v>49049</v>
      </c>
      <c r="AE113" s="58">
        <f t="shared" si="6"/>
        <v>17641.200843690425</v>
      </c>
      <c r="AF113" s="58">
        <f t="shared" si="7"/>
        <v>3239697.2929070666</v>
      </c>
      <c r="AG113" s="58">
        <f t="shared" si="8"/>
        <v>17139.785928088706</v>
      </c>
      <c r="AI113" s="57"/>
      <c r="AJ113" s="58"/>
      <c r="AK113" s="58"/>
      <c r="AL113" s="58"/>
      <c r="AM113" s="58"/>
      <c r="AN113" s="58"/>
    </row>
    <row r="114" spans="10:40">
      <c r="J114" s="86"/>
      <c r="K114" s="58"/>
      <c r="L114" s="58"/>
      <c r="M114" s="58"/>
      <c r="N114" s="58"/>
      <c r="O114" s="58"/>
      <c r="Z114" s="57">
        <f t="shared" si="22"/>
        <v>49049</v>
      </c>
      <c r="AA114" s="58">
        <f t="shared" si="4"/>
        <v>2034</v>
      </c>
      <c r="AB114" s="58">
        <f t="shared" si="23"/>
        <v>3239697.2929070666</v>
      </c>
      <c r="AC114" s="58">
        <f t="shared" si="24"/>
        <v>-34780.986771779273</v>
      </c>
      <c r="AD114" s="61">
        <f t="shared" si="5"/>
        <v>49079</v>
      </c>
      <c r="AE114" s="58">
        <f t="shared" si="6"/>
        <v>17548.360336579946</v>
      </c>
      <c r="AF114" s="58">
        <f t="shared" si="7"/>
        <v>3222464.6664718674</v>
      </c>
      <c r="AG114" s="58">
        <f t="shared" si="8"/>
        <v>17232.626435199287</v>
      </c>
      <c r="AI114" s="57"/>
      <c r="AJ114" s="58"/>
      <c r="AK114" s="58"/>
      <c r="AL114" s="58"/>
      <c r="AM114" s="58"/>
      <c r="AN114" s="58"/>
    </row>
    <row r="115" spans="10:40">
      <c r="J115" s="86"/>
      <c r="K115" s="58"/>
      <c r="L115" s="58"/>
      <c r="M115" s="58"/>
      <c r="N115" s="58"/>
      <c r="O115" s="58"/>
      <c r="Z115" s="57">
        <f t="shared" si="22"/>
        <v>49079</v>
      </c>
      <c r="AA115" s="58">
        <f t="shared" si="4"/>
        <v>2034</v>
      </c>
      <c r="AB115" s="58">
        <f t="shared" si="23"/>
        <v>3222464.6664718674</v>
      </c>
      <c r="AC115" s="58">
        <f t="shared" si="24"/>
        <v>-34780.986771779273</v>
      </c>
      <c r="AD115" s="61">
        <f t="shared" si="5"/>
        <v>49110</v>
      </c>
      <c r="AE115" s="58">
        <f t="shared" si="6"/>
        <v>17455.016943389281</v>
      </c>
      <c r="AF115" s="58">
        <f t="shared" si="7"/>
        <v>3205138.6966434773</v>
      </c>
      <c r="AG115" s="58">
        <f t="shared" si="8"/>
        <v>17325.969828390051</v>
      </c>
      <c r="AI115" s="57"/>
      <c r="AJ115" s="58"/>
      <c r="AK115" s="58"/>
      <c r="AL115" s="58"/>
      <c r="AM115" s="58"/>
      <c r="AN115" s="58"/>
    </row>
    <row r="116" spans="10:40">
      <c r="J116" s="86"/>
      <c r="K116" s="58"/>
      <c r="L116" s="58"/>
      <c r="M116" s="58"/>
      <c r="N116" s="58"/>
      <c r="O116" s="58"/>
      <c r="Z116" s="57">
        <f t="shared" si="22"/>
        <v>49110</v>
      </c>
      <c r="AA116" s="58">
        <f t="shared" si="4"/>
        <v>2034</v>
      </c>
      <c r="AB116" s="58">
        <f t="shared" si="23"/>
        <v>3205138.6966434773</v>
      </c>
      <c r="AC116" s="58">
        <f t="shared" si="24"/>
        <v>-34780.986771779273</v>
      </c>
      <c r="AD116" s="61">
        <f t="shared" si="5"/>
        <v>49140</v>
      </c>
      <c r="AE116" s="58">
        <f t="shared" si="6"/>
        <v>17361.167940152169</v>
      </c>
      <c r="AF116" s="58">
        <f t="shared" si="7"/>
        <v>3187718.8778118505</v>
      </c>
      <c r="AG116" s="58">
        <f t="shared" si="8"/>
        <v>17419.818831626792</v>
      </c>
      <c r="AI116" s="57"/>
      <c r="AJ116" s="58"/>
      <c r="AK116" s="58"/>
      <c r="AL116" s="58"/>
      <c r="AM116" s="58"/>
      <c r="AN116" s="58"/>
    </row>
    <row r="117" spans="10:40">
      <c r="J117" s="86"/>
      <c r="K117" s="58"/>
      <c r="L117" s="58"/>
      <c r="M117" s="58"/>
      <c r="N117" s="58"/>
      <c r="O117" s="58"/>
      <c r="Z117" s="57">
        <f t="shared" si="22"/>
        <v>49140</v>
      </c>
      <c r="AA117" s="58">
        <f t="shared" si="4"/>
        <v>2034</v>
      </c>
      <c r="AB117" s="58">
        <f t="shared" si="23"/>
        <v>3187718.8778118505</v>
      </c>
      <c r="AC117" s="58">
        <f t="shared" si="24"/>
        <v>-34780.986771779273</v>
      </c>
      <c r="AD117" s="61">
        <f t="shared" si="5"/>
        <v>49171</v>
      </c>
      <c r="AE117" s="58">
        <f t="shared" si="6"/>
        <v>17266.810588147524</v>
      </c>
      <c r="AF117" s="58">
        <f t="shared" si="7"/>
        <v>3170204.7016282189</v>
      </c>
      <c r="AG117" s="58">
        <f t="shared" si="8"/>
        <v>17514.176183631644</v>
      </c>
      <c r="AI117" s="57"/>
      <c r="AJ117" s="58"/>
      <c r="AK117" s="58"/>
      <c r="AL117" s="58"/>
      <c r="AM117" s="58"/>
      <c r="AN117" s="58"/>
    </row>
    <row r="118" spans="10:40">
      <c r="J118" s="86"/>
      <c r="K118" s="58"/>
      <c r="L118" s="58"/>
      <c r="M118" s="58"/>
      <c r="N118" s="58"/>
      <c r="O118" s="58"/>
      <c r="Z118" s="57">
        <f t="shared" si="22"/>
        <v>49171</v>
      </c>
      <c r="AA118" s="58">
        <f t="shared" si="4"/>
        <v>2034</v>
      </c>
      <c r="AB118" s="58">
        <f t="shared" si="23"/>
        <v>3170204.7016282189</v>
      </c>
      <c r="AC118" s="58">
        <f t="shared" si="24"/>
        <v>-34780.986771779273</v>
      </c>
      <c r="AD118" s="61">
        <f t="shared" si="5"/>
        <v>49202</v>
      </c>
      <c r="AE118" s="58">
        <f t="shared" si="6"/>
        <v>17171.942133819521</v>
      </c>
      <c r="AF118" s="58">
        <f t="shared" si="7"/>
        <v>3152595.6569902594</v>
      </c>
      <c r="AG118" s="58">
        <f t="shared" si="8"/>
        <v>17609.04463795945</v>
      </c>
      <c r="AI118" s="57"/>
      <c r="AJ118" s="58"/>
      <c r="AK118" s="58"/>
      <c r="AL118" s="58"/>
      <c r="AM118" s="58"/>
      <c r="AN118" s="58"/>
    </row>
    <row r="119" spans="10:40">
      <c r="J119" s="86"/>
      <c r="K119" s="58"/>
      <c r="L119" s="58"/>
      <c r="M119" s="58"/>
      <c r="N119" s="58"/>
      <c r="O119" s="58"/>
      <c r="Z119" s="57">
        <f t="shared" si="22"/>
        <v>49202</v>
      </c>
      <c r="AA119" s="58">
        <f t="shared" si="4"/>
        <v>2034</v>
      </c>
      <c r="AB119" s="58">
        <f t="shared" si="23"/>
        <v>3152595.6569902594</v>
      </c>
      <c r="AC119" s="58">
        <f t="shared" si="24"/>
        <v>-34780.986771779273</v>
      </c>
      <c r="AD119" s="61">
        <f t="shared" si="5"/>
        <v>49232</v>
      </c>
      <c r="AE119" s="58">
        <f t="shared" si="6"/>
        <v>17076.559808697239</v>
      </c>
      <c r="AF119" s="58">
        <f t="shared" si="7"/>
        <v>3134891.2300271774</v>
      </c>
      <c r="AG119" s="58">
        <f t="shared" si="8"/>
        <v>17704.426963082049</v>
      </c>
      <c r="AI119" s="57"/>
      <c r="AJ119" s="58"/>
      <c r="AK119" s="58"/>
      <c r="AL119" s="58"/>
      <c r="AM119" s="58"/>
      <c r="AN119" s="58"/>
    </row>
    <row r="120" spans="10:40">
      <c r="J120" s="86"/>
      <c r="K120" s="58"/>
      <c r="L120" s="58"/>
      <c r="M120" s="58"/>
      <c r="N120" s="58"/>
      <c r="O120" s="58"/>
      <c r="Z120" s="57">
        <f t="shared" si="22"/>
        <v>49232</v>
      </c>
      <c r="AA120" s="58">
        <f t="shared" si="4"/>
        <v>2034</v>
      </c>
      <c r="AB120" s="58">
        <f t="shared" si="23"/>
        <v>3134891.2300271774</v>
      </c>
      <c r="AC120" s="58">
        <f t="shared" si="24"/>
        <v>-34780.986771779273</v>
      </c>
      <c r="AD120" s="61">
        <f t="shared" si="5"/>
        <v>49263</v>
      </c>
      <c r="AE120" s="58">
        <f t="shared" si="6"/>
        <v>16980.660829313878</v>
      </c>
      <c r="AF120" s="58">
        <f t="shared" si="7"/>
        <v>3117090.9040847123</v>
      </c>
      <c r="AG120" s="58">
        <f t="shared" si="8"/>
        <v>17800.325942465104</v>
      </c>
      <c r="AI120" s="57"/>
      <c r="AJ120" s="58"/>
      <c r="AK120" s="58"/>
      <c r="AL120" s="58"/>
      <c r="AM120" s="58"/>
      <c r="AN120" s="58"/>
    </row>
    <row r="121" spans="10:40">
      <c r="J121" s="86"/>
      <c r="K121" s="58"/>
      <c r="L121" s="58"/>
      <c r="M121" s="58"/>
      <c r="N121" s="58"/>
      <c r="O121" s="58"/>
      <c r="Z121" s="57">
        <f t="shared" si="22"/>
        <v>49263</v>
      </c>
      <c r="AA121" s="58">
        <f t="shared" si="4"/>
        <v>2034</v>
      </c>
      <c r="AB121" s="58">
        <f t="shared" si="23"/>
        <v>3117090.9040847123</v>
      </c>
      <c r="AC121" s="58">
        <f t="shared" si="24"/>
        <v>-34780.986771779273</v>
      </c>
      <c r="AD121" s="61">
        <f t="shared" si="5"/>
        <v>49293</v>
      </c>
      <c r="AE121" s="58">
        <f t="shared" si="6"/>
        <v>16884.242397125527</v>
      </c>
      <c r="AF121" s="58">
        <f t="shared" si="7"/>
        <v>3099194.1597100585</v>
      </c>
      <c r="AG121" s="58">
        <f t="shared" si="8"/>
        <v>17896.74437465379</v>
      </c>
      <c r="AI121" s="57"/>
      <c r="AJ121" s="58"/>
      <c r="AK121" s="58"/>
      <c r="AL121" s="58"/>
      <c r="AM121" s="58"/>
      <c r="AN121" s="58"/>
    </row>
    <row r="122" spans="10:40">
      <c r="J122" s="86"/>
      <c r="K122" s="58"/>
      <c r="L122" s="58"/>
      <c r="M122" s="58"/>
      <c r="N122" s="58"/>
      <c r="O122" s="58"/>
      <c r="Z122" s="57">
        <f t="shared" si="22"/>
        <v>49293</v>
      </c>
      <c r="AA122" s="58">
        <f t="shared" si="4"/>
        <v>2035</v>
      </c>
      <c r="AB122" s="58">
        <f t="shared" si="23"/>
        <v>3099194.1597100585</v>
      </c>
      <c r="AC122" s="58">
        <f t="shared" si="24"/>
        <v>-34780.986771779273</v>
      </c>
      <c r="AD122" s="61">
        <f t="shared" si="5"/>
        <v>49324</v>
      </c>
      <c r="AE122" s="58">
        <f t="shared" si="6"/>
        <v>16787.301698429485</v>
      </c>
      <c r="AF122" s="58">
        <f t="shared" si="7"/>
        <v>3081200.4746367089</v>
      </c>
      <c r="AG122" s="58">
        <f t="shared" si="8"/>
        <v>17993.685073349625</v>
      </c>
      <c r="AI122" s="57"/>
      <c r="AJ122" s="58"/>
      <c r="AK122" s="58"/>
      <c r="AL122" s="58"/>
      <c r="AM122" s="58"/>
      <c r="AN122" s="58"/>
    </row>
    <row r="123" spans="10:40">
      <c r="J123" s="86"/>
      <c r="K123" s="58"/>
      <c r="L123" s="58"/>
      <c r="M123" s="58"/>
      <c r="N123" s="58"/>
      <c r="O123" s="58"/>
      <c r="Z123" s="57">
        <f t="shared" si="22"/>
        <v>49324</v>
      </c>
      <c r="AA123" s="58">
        <f t="shared" si="4"/>
        <v>2035</v>
      </c>
      <c r="AB123" s="58">
        <f t="shared" si="23"/>
        <v>3081200.4746367089</v>
      </c>
      <c r="AC123" s="58">
        <f t="shared" si="24"/>
        <v>-34780.986771779273</v>
      </c>
      <c r="AD123" s="61">
        <f t="shared" si="5"/>
        <v>49355</v>
      </c>
      <c r="AE123" s="58">
        <f t="shared" si="6"/>
        <v>16689.835904282172</v>
      </c>
      <c r="AF123" s="58">
        <f t="shared" si="7"/>
        <v>3063109.3237692118</v>
      </c>
      <c r="AG123" s="58">
        <f t="shared" si="8"/>
        <v>18091.150867497083</v>
      </c>
      <c r="AI123" s="57"/>
      <c r="AJ123" s="58"/>
      <c r="AK123" s="58"/>
      <c r="AL123" s="58"/>
      <c r="AM123" s="58"/>
      <c r="AN123" s="58"/>
    </row>
    <row r="124" spans="10:40">
      <c r="J124" s="86"/>
      <c r="K124" s="58"/>
      <c r="L124" s="58"/>
      <c r="M124" s="58"/>
      <c r="N124" s="58"/>
      <c r="O124" s="58"/>
      <c r="Z124" s="57">
        <f t="shared" si="22"/>
        <v>49355</v>
      </c>
      <c r="AA124" s="58">
        <f t="shared" si="4"/>
        <v>2035</v>
      </c>
      <c r="AB124" s="58">
        <f t="shared" si="23"/>
        <v>3063109.3237692118</v>
      </c>
      <c r="AC124" s="58">
        <f t="shared" si="24"/>
        <v>-34780.986771779273</v>
      </c>
      <c r="AD124" s="61">
        <f t="shared" si="5"/>
        <v>49383</v>
      </c>
      <c r="AE124" s="58">
        <f t="shared" si="6"/>
        <v>16591.842170416563</v>
      </c>
      <c r="AF124" s="58">
        <f t="shared" si="7"/>
        <v>3044920.179167849</v>
      </c>
      <c r="AG124" s="58">
        <f t="shared" si="8"/>
        <v>18189.144601362757</v>
      </c>
      <c r="AI124" s="57"/>
      <c r="AJ124" s="58"/>
      <c r="AK124" s="58"/>
      <c r="AL124" s="58"/>
      <c r="AM124" s="58"/>
      <c r="AN124" s="58"/>
    </row>
    <row r="125" spans="10:40">
      <c r="J125" s="86"/>
      <c r="K125" s="58"/>
      <c r="L125" s="58"/>
      <c r="M125" s="58"/>
      <c r="N125" s="58"/>
      <c r="O125" s="58"/>
      <c r="Z125" s="57">
        <f t="shared" si="22"/>
        <v>49383</v>
      </c>
      <c r="AA125" s="58">
        <f t="shared" si="4"/>
        <v>2035</v>
      </c>
      <c r="AB125" s="58">
        <f t="shared" si="23"/>
        <v>3044920.179167849</v>
      </c>
      <c r="AC125" s="58">
        <f t="shared" si="24"/>
        <v>-34780.986771779273</v>
      </c>
      <c r="AD125" s="61">
        <f t="shared" si="5"/>
        <v>49414</v>
      </c>
      <c r="AE125" s="58">
        <f t="shared" si="6"/>
        <v>16493.317637159184</v>
      </c>
      <c r="AF125" s="58">
        <f t="shared" si="7"/>
        <v>3026632.5100332289</v>
      </c>
      <c r="AG125" s="58">
        <f t="shared" si="8"/>
        <v>18287.669134620111</v>
      </c>
      <c r="AI125" s="57"/>
      <c r="AJ125" s="58"/>
      <c r="AK125" s="58"/>
      <c r="AL125" s="58"/>
      <c r="AM125" s="58"/>
      <c r="AN125" s="58"/>
    </row>
    <row r="126" spans="10:40">
      <c r="J126" s="86"/>
      <c r="K126" s="58"/>
      <c r="L126" s="58"/>
      <c r="M126" s="58"/>
      <c r="N126" s="58"/>
      <c r="O126" s="58"/>
      <c r="Z126" s="57">
        <f t="shared" si="22"/>
        <v>49414</v>
      </c>
      <c r="AA126" s="58">
        <f t="shared" si="4"/>
        <v>2035</v>
      </c>
      <c r="AB126" s="58">
        <f t="shared" si="23"/>
        <v>3026632.5100332289</v>
      </c>
      <c r="AC126" s="58">
        <f t="shared" si="24"/>
        <v>-34780.986771779273</v>
      </c>
      <c r="AD126" s="61">
        <f t="shared" si="5"/>
        <v>49444</v>
      </c>
      <c r="AE126" s="58">
        <f t="shared" si="6"/>
        <v>16394.259429346657</v>
      </c>
      <c r="AF126" s="58">
        <f t="shared" si="7"/>
        <v>3008245.7826907965</v>
      </c>
      <c r="AG126" s="58">
        <f t="shared" si="8"/>
        <v>18386.727342432365</v>
      </c>
      <c r="AI126" s="57"/>
      <c r="AJ126" s="58"/>
      <c r="AK126" s="58"/>
      <c r="AL126" s="58"/>
      <c r="AM126" s="58"/>
      <c r="AN126" s="58"/>
    </row>
    <row r="127" spans="10:40">
      <c r="J127" s="86"/>
      <c r="K127" s="58"/>
      <c r="L127" s="58"/>
      <c r="M127" s="58"/>
      <c r="N127" s="58"/>
      <c r="O127" s="58"/>
      <c r="Z127" s="57">
        <f t="shared" si="22"/>
        <v>49444</v>
      </c>
      <c r="AA127" s="58">
        <f t="shared" si="4"/>
        <v>2035</v>
      </c>
      <c r="AB127" s="58">
        <f t="shared" si="23"/>
        <v>3008245.7826907965</v>
      </c>
      <c r="AC127" s="58">
        <f t="shared" si="24"/>
        <v>-34780.986771779273</v>
      </c>
      <c r="AD127" s="61">
        <f t="shared" si="5"/>
        <v>49475</v>
      </c>
      <c r="AE127" s="58">
        <f t="shared" si="6"/>
        <v>16294.664656241815</v>
      </c>
      <c r="AF127" s="58">
        <f t="shared" si="7"/>
        <v>2989759.4605752593</v>
      </c>
      <c r="AG127" s="58">
        <f t="shared" si="8"/>
        <v>18486.322115537245</v>
      </c>
      <c r="AI127" s="57"/>
      <c r="AJ127" s="58"/>
      <c r="AK127" s="58"/>
      <c r="AL127" s="58"/>
      <c r="AM127" s="58"/>
      <c r="AN127" s="58"/>
    </row>
    <row r="128" spans="10:40">
      <c r="J128" s="86"/>
      <c r="K128" s="58"/>
      <c r="L128" s="58"/>
      <c r="M128" s="58"/>
      <c r="N128" s="58"/>
      <c r="O128" s="58"/>
      <c r="Z128" s="57">
        <f t="shared" si="22"/>
        <v>49475</v>
      </c>
      <c r="AA128" s="58">
        <f t="shared" si="4"/>
        <v>2035</v>
      </c>
      <c r="AB128" s="58">
        <f t="shared" si="23"/>
        <v>2989759.4605752593</v>
      </c>
      <c r="AC128" s="58">
        <f t="shared" si="24"/>
        <v>-34780.986771779273</v>
      </c>
      <c r="AD128" s="61">
        <f t="shared" si="5"/>
        <v>49505</v>
      </c>
      <c r="AE128" s="58">
        <f t="shared" si="6"/>
        <v>16194.530411449321</v>
      </c>
      <c r="AF128" s="58">
        <f t="shared" si="7"/>
        <v>2971173.0042149294</v>
      </c>
      <c r="AG128" s="58">
        <f t="shared" si="8"/>
        <v>18586.456360329874</v>
      </c>
      <c r="AI128" s="57"/>
      <c r="AJ128" s="58"/>
      <c r="AK128" s="58"/>
      <c r="AL128" s="58"/>
      <c r="AM128" s="58"/>
      <c r="AN128" s="58"/>
    </row>
    <row r="129" spans="10:40">
      <c r="J129" s="86"/>
      <c r="K129" s="58"/>
      <c r="L129" s="58"/>
      <c r="M129" s="58"/>
      <c r="N129" s="58"/>
      <c r="O129" s="58"/>
      <c r="Z129" s="57">
        <f t="shared" si="22"/>
        <v>49505</v>
      </c>
      <c r="AA129" s="58">
        <f t="shared" si="4"/>
        <v>2035</v>
      </c>
      <c r="AB129" s="58">
        <f t="shared" si="23"/>
        <v>2971173.0042149294</v>
      </c>
      <c r="AC129" s="58">
        <f t="shared" si="24"/>
        <v>-34780.986771779273</v>
      </c>
      <c r="AD129" s="61">
        <f t="shared" si="5"/>
        <v>49536</v>
      </c>
      <c r="AE129" s="58">
        <f t="shared" si="6"/>
        <v>16093.853772830867</v>
      </c>
      <c r="AF129" s="58">
        <f t="shared" si="7"/>
        <v>2952485.871215981</v>
      </c>
      <c r="AG129" s="58">
        <f t="shared" si="8"/>
        <v>18687.132998948451</v>
      </c>
      <c r="AI129" s="57"/>
      <c r="AJ129" s="58"/>
      <c r="AK129" s="58"/>
      <c r="AL129" s="58"/>
      <c r="AM129" s="58"/>
      <c r="AN129" s="58"/>
    </row>
    <row r="130" spans="10:40">
      <c r="J130" s="86"/>
      <c r="K130" s="58"/>
      <c r="L130" s="58"/>
      <c r="M130" s="58"/>
      <c r="N130" s="58"/>
      <c r="O130" s="58"/>
      <c r="Z130" s="57">
        <f t="shared" si="22"/>
        <v>49536</v>
      </c>
      <c r="AA130" s="58">
        <f t="shared" si="4"/>
        <v>2035</v>
      </c>
      <c r="AB130" s="58">
        <f t="shared" si="23"/>
        <v>2952485.871215981</v>
      </c>
      <c r="AC130" s="58">
        <f t="shared" si="24"/>
        <v>-34780.986771779273</v>
      </c>
      <c r="AD130" s="61">
        <f t="shared" si="5"/>
        <v>49567</v>
      </c>
      <c r="AE130" s="58">
        <f t="shared" si="6"/>
        <v>15992.631802419897</v>
      </c>
      <c r="AF130" s="58">
        <f t="shared" si="7"/>
        <v>2933697.5162466215</v>
      </c>
      <c r="AG130" s="58">
        <f t="shared" si="8"/>
        <v>18788.354969359469</v>
      </c>
      <c r="AI130" s="57"/>
      <c r="AJ130" s="58"/>
      <c r="AK130" s="58"/>
      <c r="AL130" s="58"/>
      <c r="AM130" s="58"/>
      <c r="AN130" s="58"/>
    </row>
    <row r="131" spans="10:40">
      <c r="J131" s="86"/>
      <c r="K131" s="58"/>
      <c r="L131" s="58"/>
      <c r="M131" s="58"/>
      <c r="N131" s="58"/>
      <c r="O131" s="58"/>
      <c r="Z131" s="57">
        <f t="shared" si="22"/>
        <v>49567</v>
      </c>
      <c r="AA131" s="58">
        <f t="shared" si="4"/>
        <v>2035</v>
      </c>
      <c r="AB131" s="58">
        <f t="shared" si="23"/>
        <v>2933697.5162466215</v>
      </c>
      <c r="AC131" s="58">
        <f t="shared" si="24"/>
        <v>-34780.986771779273</v>
      </c>
      <c r="AD131" s="61">
        <f t="shared" si="5"/>
        <v>49597</v>
      </c>
      <c r="AE131" s="58">
        <f t="shared" si="6"/>
        <v>15890.861546335867</v>
      </c>
      <c r="AF131" s="58">
        <f t="shared" si="7"/>
        <v>2914807.3910211781</v>
      </c>
      <c r="AG131" s="58">
        <f t="shared" si="8"/>
        <v>18890.125225443393</v>
      </c>
      <c r="AI131" s="57"/>
      <c r="AJ131" s="58"/>
      <c r="AK131" s="58"/>
      <c r="AL131" s="58"/>
      <c r="AM131" s="58"/>
      <c r="AN131" s="58"/>
    </row>
    <row r="132" spans="10:40">
      <c r="J132" s="86"/>
      <c r="K132" s="58"/>
      <c r="L132" s="58"/>
      <c r="M132" s="58"/>
      <c r="N132" s="58"/>
      <c r="O132" s="58"/>
      <c r="Z132" s="57">
        <f t="shared" si="22"/>
        <v>49597</v>
      </c>
      <c r="AA132" s="58">
        <f t="shared" si="4"/>
        <v>2035</v>
      </c>
      <c r="AB132" s="58">
        <f t="shared" si="23"/>
        <v>2914807.3910211781</v>
      </c>
      <c r="AC132" s="58">
        <f t="shared" si="24"/>
        <v>-34780.986771779273</v>
      </c>
      <c r="AD132" s="61">
        <f t="shared" si="5"/>
        <v>49628</v>
      </c>
      <c r="AE132" s="58">
        <f t="shared" si="6"/>
        <v>15788.540034698048</v>
      </c>
      <c r="AF132" s="58">
        <f t="shared" si="7"/>
        <v>2895814.9442840968</v>
      </c>
      <c r="AG132" s="58">
        <f t="shared" si="8"/>
        <v>18992.446737081278</v>
      </c>
      <c r="AI132" s="57"/>
      <c r="AJ132" s="58"/>
      <c r="AK132" s="58"/>
      <c r="AL132" s="58"/>
      <c r="AM132" s="58"/>
      <c r="AN132" s="58"/>
    </row>
    <row r="133" spans="10:40">
      <c r="J133" s="86"/>
      <c r="K133" s="58"/>
      <c r="L133" s="58"/>
      <c r="M133" s="58"/>
      <c r="N133" s="58"/>
      <c r="O133" s="58"/>
      <c r="Z133" s="57">
        <f t="shared" si="22"/>
        <v>49628</v>
      </c>
      <c r="AA133" s="58">
        <f t="shared" si="4"/>
        <v>2035</v>
      </c>
      <c r="AB133" s="58">
        <f t="shared" si="23"/>
        <v>2895814.9442840968</v>
      </c>
      <c r="AC133" s="58">
        <f t="shared" si="24"/>
        <v>-34780.986771779273</v>
      </c>
      <c r="AD133" s="61">
        <f t="shared" si="5"/>
        <v>49658</v>
      </c>
      <c r="AE133" s="58">
        <f t="shared" si="6"/>
        <v>15685.664281538859</v>
      </c>
      <c r="AF133" s="58">
        <f t="shared" si="7"/>
        <v>2876719.6217938564</v>
      </c>
      <c r="AG133" s="58">
        <f t="shared" si="8"/>
        <v>19095.322490240447</v>
      </c>
      <c r="AI133" s="57"/>
      <c r="AJ133" s="58"/>
      <c r="AK133" s="58"/>
      <c r="AL133" s="58"/>
      <c r="AM133" s="58"/>
      <c r="AN133" s="58"/>
    </row>
    <row r="134" spans="10:40">
      <c r="J134" s="86"/>
      <c r="K134" s="58"/>
      <c r="L134" s="58"/>
      <c r="M134" s="58"/>
      <c r="N134" s="58"/>
      <c r="O134" s="58"/>
      <c r="Z134" s="57">
        <f t="shared" si="22"/>
        <v>49658</v>
      </c>
      <c r="AA134" s="58">
        <f t="shared" si="4"/>
        <v>2036</v>
      </c>
      <c r="AB134" s="58">
        <f t="shared" si="23"/>
        <v>2876719.6217938564</v>
      </c>
      <c r="AC134" s="58">
        <f t="shared" si="24"/>
        <v>-34780.986771779273</v>
      </c>
      <c r="AD134" s="61">
        <f t="shared" si="5"/>
        <v>49689</v>
      </c>
      <c r="AE134" s="58">
        <f t="shared" si="6"/>
        <v>15582.231284716723</v>
      </c>
      <c r="AF134" s="58">
        <f t="shared" si="7"/>
        <v>2857520.8663067939</v>
      </c>
      <c r="AG134" s="58">
        <f t="shared" si="8"/>
        <v>19198.755487062503</v>
      </c>
      <c r="AI134" s="57"/>
      <c r="AJ134" s="58"/>
      <c r="AK134" s="58"/>
      <c r="AL134" s="58"/>
      <c r="AM134" s="58"/>
      <c r="AN134" s="58"/>
    </row>
    <row r="135" spans="10:40">
      <c r="J135" s="86"/>
      <c r="K135" s="58"/>
      <c r="L135" s="58"/>
      <c r="M135" s="58"/>
      <c r="N135" s="58"/>
      <c r="O135" s="58"/>
      <c r="Z135" s="57">
        <f t="shared" si="22"/>
        <v>49689</v>
      </c>
      <c r="AA135" s="58">
        <f t="shared" si="4"/>
        <v>2036</v>
      </c>
      <c r="AB135" s="58">
        <f t="shared" si="23"/>
        <v>2857520.8663067939</v>
      </c>
      <c r="AC135" s="58">
        <f t="shared" si="24"/>
        <v>-34780.986771779273</v>
      </c>
      <c r="AD135" s="61">
        <f t="shared" si="5"/>
        <v>49720</v>
      </c>
      <c r="AE135" s="58">
        <f t="shared" si="6"/>
        <v>15478.238025828467</v>
      </c>
      <c r="AF135" s="58">
        <f t="shared" si="7"/>
        <v>2838218.117560843</v>
      </c>
      <c r="AG135" s="58">
        <f t="shared" si="8"/>
        <v>19302.74874595087</v>
      </c>
      <c r="AI135" s="57"/>
      <c r="AJ135" s="58"/>
      <c r="AK135" s="58"/>
      <c r="AL135" s="58"/>
      <c r="AM135" s="58"/>
      <c r="AN135" s="58"/>
    </row>
    <row r="136" spans="10:40">
      <c r="J136" s="86"/>
      <c r="K136" s="58"/>
      <c r="L136" s="58"/>
      <c r="M136" s="58"/>
      <c r="N136" s="58"/>
      <c r="O136" s="58"/>
      <c r="Z136" s="57">
        <f t="shared" si="22"/>
        <v>49720</v>
      </c>
      <c r="AA136" s="58">
        <f t="shared" si="4"/>
        <v>2036</v>
      </c>
      <c r="AB136" s="58">
        <f t="shared" si="23"/>
        <v>2838218.117560843</v>
      </c>
      <c r="AC136" s="58">
        <f t="shared" si="24"/>
        <v>-34780.986771779273</v>
      </c>
      <c r="AD136" s="61">
        <f t="shared" si="5"/>
        <v>49749</v>
      </c>
      <c r="AE136" s="58">
        <f t="shared" si="6"/>
        <v>15373.681470121233</v>
      </c>
      <c r="AF136" s="58">
        <f t="shared" si="7"/>
        <v>2818810.8122591851</v>
      </c>
      <c r="AG136" s="58">
        <f t="shared" si="8"/>
        <v>19407.305301657878</v>
      </c>
      <c r="AI136" s="57"/>
      <c r="AJ136" s="58"/>
      <c r="AK136" s="58"/>
      <c r="AL136" s="58"/>
      <c r="AM136" s="58"/>
      <c r="AN136" s="58"/>
    </row>
    <row r="137" spans="10:40">
      <c r="J137" s="86"/>
      <c r="K137" s="58"/>
      <c r="L137" s="58"/>
      <c r="M137" s="58"/>
      <c r="N137" s="58"/>
      <c r="O137" s="58"/>
      <c r="Z137" s="57">
        <f t="shared" si="22"/>
        <v>49749</v>
      </c>
      <c r="AA137" s="58">
        <f t="shared" si="4"/>
        <v>2036</v>
      </c>
      <c r="AB137" s="58">
        <f t="shared" si="23"/>
        <v>2818810.8122591851</v>
      </c>
      <c r="AC137" s="58">
        <f t="shared" si="24"/>
        <v>-34780.986771779273</v>
      </c>
      <c r="AD137" s="61">
        <f t="shared" si="5"/>
        <v>49780</v>
      </c>
      <c r="AE137" s="58">
        <f t="shared" si="6"/>
        <v>15268.558566403921</v>
      </c>
      <c r="AF137" s="58">
        <f t="shared" si="7"/>
        <v>2799298.38405381</v>
      </c>
      <c r="AG137" s="58">
        <f t="shared" si="8"/>
        <v>19512.428205375094</v>
      </c>
      <c r="AI137" s="57"/>
      <c r="AJ137" s="58"/>
      <c r="AK137" s="58"/>
      <c r="AL137" s="58"/>
      <c r="AM137" s="58"/>
      <c r="AN137" s="58"/>
    </row>
    <row r="138" spans="10:40">
      <c r="J138" s="86"/>
      <c r="K138" s="58"/>
      <c r="L138" s="58"/>
      <c r="M138" s="58"/>
      <c r="N138" s="58"/>
      <c r="O138" s="58"/>
      <c r="Z138" s="57">
        <f t="shared" si="22"/>
        <v>49780</v>
      </c>
      <c r="AA138" s="58">
        <f t="shared" si="4"/>
        <v>2036</v>
      </c>
      <c r="AB138" s="58">
        <f t="shared" si="23"/>
        <v>2799298.38405381</v>
      </c>
      <c r="AC138" s="58">
        <f t="shared" si="24"/>
        <v>-34780.986771779273</v>
      </c>
      <c r="AD138" s="61">
        <f t="shared" si="5"/>
        <v>49810</v>
      </c>
      <c r="AE138" s="58">
        <f t="shared" si="6"/>
        <v>15162.866246958138</v>
      </c>
      <c r="AF138" s="58">
        <f t="shared" si="7"/>
        <v>2779680.2635289892</v>
      </c>
      <c r="AG138" s="58">
        <f t="shared" si="8"/>
        <v>19618.120524820872</v>
      </c>
      <c r="AI138" s="57"/>
      <c r="AJ138" s="58"/>
      <c r="AK138" s="58"/>
      <c r="AL138" s="58"/>
      <c r="AM138" s="58"/>
      <c r="AN138" s="58"/>
    </row>
    <row r="139" spans="10:40">
      <c r="J139" s="86"/>
      <c r="K139" s="58"/>
      <c r="L139" s="58"/>
      <c r="M139" s="58"/>
      <c r="N139" s="58"/>
      <c r="O139" s="58"/>
      <c r="Z139" s="57">
        <f t="shared" si="22"/>
        <v>49810</v>
      </c>
      <c r="AA139" s="58">
        <f t="shared" si="4"/>
        <v>2036</v>
      </c>
      <c r="AB139" s="58">
        <f t="shared" si="23"/>
        <v>2779680.2635289892</v>
      </c>
      <c r="AC139" s="58">
        <f t="shared" si="24"/>
        <v>-34780.986771779273</v>
      </c>
      <c r="AD139" s="61">
        <f t="shared" si="5"/>
        <v>49841</v>
      </c>
      <c r="AE139" s="58">
        <f t="shared" si="6"/>
        <v>15056.601427448692</v>
      </c>
      <c r="AF139" s="58">
        <f t="shared" si="7"/>
        <v>2759955.8781846589</v>
      </c>
      <c r="AG139" s="58">
        <f t="shared" si="8"/>
        <v>19724.385344330221</v>
      </c>
      <c r="AI139" s="57"/>
      <c r="AJ139" s="58"/>
      <c r="AK139" s="58"/>
      <c r="AL139" s="58"/>
      <c r="AM139" s="58"/>
      <c r="AN139" s="58"/>
    </row>
    <row r="140" spans="10:40">
      <c r="J140" s="86"/>
      <c r="K140" s="58"/>
      <c r="L140" s="58"/>
      <c r="M140" s="58"/>
      <c r="N140" s="58"/>
      <c r="O140" s="58"/>
      <c r="Z140" s="57">
        <f t="shared" si="22"/>
        <v>49841</v>
      </c>
      <c r="AA140" s="58">
        <f t="shared" si="4"/>
        <v>2036</v>
      </c>
      <c r="AB140" s="58">
        <f t="shared" si="23"/>
        <v>2759955.8781846589</v>
      </c>
      <c r="AC140" s="58">
        <f t="shared" si="24"/>
        <v>-34780.986771779273</v>
      </c>
      <c r="AD140" s="61">
        <f t="shared" si="5"/>
        <v>49871</v>
      </c>
      <c r="AE140" s="58">
        <f t="shared" si="6"/>
        <v>14949.761006833569</v>
      </c>
      <c r="AF140" s="58">
        <f t="shared" si="7"/>
        <v>2740124.6524197133</v>
      </c>
      <c r="AG140" s="58">
        <f t="shared" si="8"/>
        <v>19831.225764945615</v>
      </c>
      <c r="AI140" s="57"/>
      <c r="AJ140" s="58"/>
      <c r="AK140" s="58"/>
      <c r="AL140" s="58"/>
      <c r="AM140" s="58"/>
      <c r="AN140" s="58"/>
    </row>
    <row r="141" spans="10:40">
      <c r="J141" s="86"/>
      <c r="K141" s="58"/>
      <c r="L141" s="58"/>
      <c r="M141" s="58"/>
      <c r="N141" s="58"/>
      <c r="O141" s="58"/>
      <c r="Z141" s="57">
        <f t="shared" si="22"/>
        <v>49871</v>
      </c>
      <c r="AA141" s="58">
        <f t="shared" si="4"/>
        <v>2036</v>
      </c>
      <c r="AB141" s="58">
        <f t="shared" si="23"/>
        <v>2740124.6524197133</v>
      </c>
      <c r="AC141" s="58">
        <f t="shared" si="24"/>
        <v>-34780.986771779273</v>
      </c>
      <c r="AD141" s="61">
        <f t="shared" si="5"/>
        <v>49902</v>
      </c>
      <c r="AE141" s="58">
        <f t="shared" si="6"/>
        <v>14842.341867273448</v>
      </c>
      <c r="AF141" s="58">
        <f t="shared" si="7"/>
        <v>2720186.0075152079</v>
      </c>
      <c r="AG141" s="58">
        <f t="shared" si="8"/>
        <v>19938.644904505461</v>
      </c>
      <c r="AI141" s="57"/>
      <c r="AJ141" s="58"/>
      <c r="AK141" s="58"/>
      <c r="AL141" s="58"/>
      <c r="AM141" s="58"/>
      <c r="AN141" s="58"/>
    </row>
    <row r="142" spans="10:40">
      <c r="J142" s="86"/>
      <c r="K142" s="58"/>
      <c r="L142" s="58"/>
      <c r="M142" s="58"/>
      <c r="N142" s="58"/>
      <c r="O142" s="58"/>
      <c r="Z142" s="57">
        <f t="shared" si="22"/>
        <v>49902</v>
      </c>
      <c r="AA142" s="58">
        <f t="shared" si="4"/>
        <v>2036</v>
      </c>
      <c r="AB142" s="58">
        <f t="shared" si="23"/>
        <v>2720186.0075152079</v>
      </c>
      <c r="AC142" s="58">
        <f t="shared" si="24"/>
        <v>-34780.986771779273</v>
      </c>
      <c r="AD142" s="61">
        <f t="shared" si="5"/>
        <v>49933</v>
      </c>
      <c r="AE142" s="58">
        <f t="shared" si="6"/>
        <v>14734.34087404071</v>
      </c>
      <c r="AF142" s="58">
        <f t="shared" si="7"/>
        <v>2700139.3616174692</v>
      </c>
      <c r="AG142" s="58">
        <f t="shared" si="8"/>
        <v>20046.645897738636</v>
      </c>
      <c r="AI142" s="57"/>
      <c r="AJ142" s="58"/>
      <c r="AK142" s="58"/>
      <c r="AL142" s="58"/>
      <c r="AM142" s="58"/>
      <c r="AN142" s="58"/>
    </row>
    <row r="143" spans="10:40">
      <c r="J143" s="86"/>
      <c r="K143" s="58"/>
      <c r="L143" s="58"/>
      <c r="M143" s="58"/>
      <c r="N143" s="58"/>
      <c r="O143" s="58"/>
      <c r="Z143" s="57">
        <f t="shared" si="22"/>
        <v>49933</v>
      </c>
      <c r="AA143" s="58">
        <f t="shared" si="4"/>
        <v>2036</v>
      </c>
      <c r="AB143" s="58">
        <f t="shared" si="23"/>
        <v>2700139.3616174692</v>
      </c>
      <c r="AC143" s="58">
        <f t="shared" si="24"/>
        <v>-34780.986771779273</v>
      </c>
      <c r="AD143" s="61">
        <f t="shared" si="5"/>
        <v>49963</v>
      </c>
      <c r="AE143" s="58">
        <f t="shared" si="6"/>
        <v>14625.75487542796</v>
      </c>
      <c r="AF143" s="58">
        <f t="shared" si="7"/>
        <v>2679984.1297211181</v>
      </c>
      <c r="AG143" s="58">
        <f t="shared" si="8"/>
        <v>20155.231896351092</v>
      </c>
      <c r="AI143" s="57"/>
      <c r="AJ143" s="58"/>
      <c r="AK143" s="58"/>
      <c r="AL143" s="58"/>
      <c r="AM143" s="58"/>
      <c r="AN143" s="58"/>
    </row>
    <row r="144" spans="10:40">
      <c r="J144" s="86"/>
      <c r="K144" s="58"/>
      <c r="L144" s="58"/>
      <c r="M144" s="58"/>
      <c r="N144" s="58"/>
      <c r="O144" s="58"/>
      <c r="Z144" s="57">
        <f t="shared" si="22"/>
        <v>49963</v>
      </c>
      <c r="AA144" s="58">
        <f t="shared" si="4"/>
        <v>2036</v>
      </c>
      <c r="AB144" s="58">
        <f t="shared" si="23"/>
        <v>2679984.1297211181</v>
      </c>
      <c r="AC144" s="58">
        <f t="shared" si="24"/>
        <v>-34780.986771779273</v>
      </c>
      <c r="AD144" s="61">
        <f t="shared" si="5"/>
        <v>49994</v>
      </c>
      <c r="AE144" s="58">
        <f t="shared" si="6"/>
        <v>14516.580702656058</v>
      </c>
      <c r="AF144" s="58">
        <f t="shared" si="7"/>
        <v>2659719.723651995</v>
      </c>
      <c r="AG144" s="58">
        <f t="shared" si="8"/>
        <v>20264.406069123186</v>
      </c>
      <c r="AI144" s="57"/>
      <c r="AJ144" s="58"/>
      <c r="AK144" s="58"/>
      <c r="AL144" s="58"/>
      <c r="AM144" s="58"/>
      <c r="AN144" s="58"/>
    </row>
    <row r="145" spans="10:40">
      <c r="J145" s="86"/>
      <c r="K145" s="58"/>
      <c r="L145" s="58"/>
      <c r="M145" s="58"/>
      <c r="N145" s="58"/>
      <c r="O145" s="58"/>
      <c r="Z145" s="57">
        <f t="shared" si="22"/>
        <v>49994</v>
      </c>
      <c r="AA145" s="58">
        <f t="shared" si="4"/>
        <v>2036</v>
      </c>
      <c r="AB145" s="58">
        <f t="shared" si="23"/>
        <v>2659719.723651995</v>
      </c>
      <c r="AC145" s="58">
        <f t="shared" si="24"/>
        <v>-34780.986771779273</v>
      </c>
      <c r="AD145" s="61">
        <f t="shared" si="5"/>
        <v>50024</v>
      </c>
      <c r="AE145" s="58">
        <f t="shared" si="6"/>
        <v>14406.815169781639</v>
      </c>
      <c r="AF145" s="58">
        <f t="shared" si="7"/>
        <v>2639345.5520499973</v>
      </c>
      <c r="AG145" s="58">
        <f t="shared" si="8"/>
        <v>20374.171601997688</v>
      </c>
      <c r="AI145" s="57"/>
      <c r="AJ145" s="58"/>
      <c r="AK145" s="58"/>
      <c r="AL145" s="58"/>
      <c r="AM145" s="58"/>
      <c r="AN145" s="58"/>
    </row>
    <row r="146" spans="10:40">
      <c r="J146" s="86"/>
      <c r="K146" s="58"/>
      <c r="L146" s="58"/>
      <c r="M146" s="58"/>
      <c r="N146" s="58"/>
      <c r="O146" s="58"/>
      <c r="Z146" s="57">
        <f t="shared" si="22"/>
        <v>50024</v>
      </c>
      <c r="AA146" s="58">
        <f t="shared" si="4"/>
        <v>2037</v>
      </c>
      <c r="AB146" s="58">
        <f t="shared" si="23"/>
        <v>2639345.5520499973</v>
      </c>
      <c r="AC146" s="58">
        <f t="shared" si="24"/>
        <v>-34780.986771779273</v>
      </c>
      <c r="AD146" s="61">
        <f t="shared" si="5"/>
        <v>50055</v>
      </c>
      <c r="AE146" s="58">
        <f t="shared" si="6"/>
        <v>14296.455073604153</v>
      </c>
      <c r="AF146" s="58">
        <f t="shared" si="7"/>
        <v>2618861.0203518225</v>
      </c>
      <c r="AG146" s="58">
        <f t="shared" si="8"/>
        <v>20484.531698174775</v>
      </c>
      <c r="AI146" s="57"/>
      <c r="AJ146" s="58"/>
      <c r="AK146" s="58"/>
      <c r="AL146" s="58"/>
      <c r="AM146" s="58"/>
      <c r="AN146" s="58"/>
    </row>
    <row r="147" spans="10:40">
      <c r="J147" s="86"/>
      <c r="K147" s="58"/>
      <c r="L147" s="58"/>
      <c r="M147" s="58"/>
      <c r="N147" s="58"/>
      <c r="O147" s="58"/>
      <c r="Z147" s="57">
        <f t="shared" si="22"/>
        <v>50055</v>
      </c>
      <c r="AA147" s="58">
        <f t="shared" si="4"/>
        <v>2037</v>
      </c>
      <c r="AB147" s="58">
        <f t="shared" si="23"/>
        <v>2618861.0203518225</v>
      </c>
      <c r="AC147" s="58">
        <f t="shared" si="24"/>
        <v>-34780.986771779273</v>
      </c>
      <c r="AD147" s="61">
        <f t="shared" si="5"/>
        <v>50086</v>
      </c>
      <c r="AE147" s="58">
        <f t="shared" si="6"/>
        <v>14185.497193572372</v>
      </c>
      <c r="AF147" s="58">
        <f t="shared" si="7"/>
        <v>2598265.5307736159</v>
      </c>
      <c r="AG147" s="58">
        <f t="shared" si="8"/>
        <v>20595.489578206558</v>
      </c>
      <c r="AI147" s="57"/>
      <c r="AJ147" s="58"/>
      <c r="AK147" s="58"/>
      <c r="AL147" s="58"/>
      <c r="AM147" s="58"/>
      <c r="AN147" s="58"/>
    </row>
    <row r="148" spans="10:40">
      <c r="J148" s="86"/>
      <c r="K148" s="58"/>
      <c r="L148" s="58"/>
      <c r="M148" s="58"/>
      <c r="N148" s="58"/>
      <c r="O148" s="58"/>
      <c r="Z148" s="57">
        <f t="shared" si="22"/>
        <v>50086</v>
      </c>
      <c r="AA148" s="58">
        <f t="shared" si="4"/>
        <v>2037</v>
      </c>
      <c r="AB148" s="58">
        <f t="shared" si="23"/>
        <v>2598265.5307736159</v>
      </c>
      <c r="AC148" s="58">
        <f t="shared" si="24"/>
        <v>-34780.986771779273</v>
      </c>
      <c r="AD148" s="61">
        <f t="shared" si="5"/>
        <v>50114</v>
      </c>
      <c r="AE148" s="58">
        <f t="shared" si="6"/>
        <v>14073.93829169042</v>
      </c>
      <c r="AF148" s="58">
        <f t="shared" si="7"/>
        <v>2577558.4822935271</v>
      </c>
      <c r="AG148" s="58">
        <f t="shared" si="8"/>
        <v>20707.048480088823</v>
      </c>
      <c r="AI148" s="57"/>
      <c r="AJ148" s="58"/>
      <c r="AK148" s="58"/>
      <c r="AL148" s="58"/>
      <c r="AM148" s="58"/>
      <c r="AN148" s="58"/>
    </row>
    <row r="149" spans="10:40">
      <c r="J149" s="86"/>
      <c r="K149" s="58"/>
      <c r="L149" s="58"/>
      <c r="M149" s="58"/>
      <c r="N149" s="58"/>
      <c r="O149" s="58"/>
      <c r="Z149" s="57">
        <f t="shared" si="22"/>
        <v>50114</v>
      </c>
      <c r="AA149" s="58">
        <f t="shared" si="4"/>
        <v>2037</v>
      </c>
      <c r="AB149" s="58">
        <f t="shared" si="23"/>
        <v>2577558.4822935271</v>
      </c>
      <c r="AC149" s="58">
        <f t="shared" si="24"/>
        <v>-34780.986771779273</v>
      </c>
      <c r="AD149" s="61">
        <f t="shared" si="5"/>
        <v>50145</v>
      </c>
      <c r="AE149" s="58">
        <f t="shared" si="6"/>
        <v>13961.775112423273</v>
      </c>
      <c r="AF149" s="58">
        <f t="shared" si="7"/>
        <v>2556739.2706341711</v>
      </c>
      <c r="AG149" s="58">
        <f t="shared" si="8"/>
        <v>20819.21165935602</v>
      </c>
      <c r="AI149" s="57"/>
      <c r="AJ149" s="58"/>
      <c r="AK149" s="58"/>
      <c r="AL149" s="58"/>
      <c r="AM149" s="58"/>
      <c r="AN149" s="58"/>
    </row>
    <row r="150" spans="10:40">
      <c r="J150" s="86"/>
      <c r="K150" s="58"/>
      <c r="L150" s="58"/>
      <c r="M150" s="58"/>
      <c r="N150" s="58"/>
      <c r="O150" s="58"/>
      <c r="Z150" s="57">
        <f t="shared" si="22"/>
        <v>50145</v>
      </c>
      <c r="AA150" s="58">
        <f t="shared" si="4"/>
        <v>2037</v>
      </c>
      <c r="AB150" s="58">
        <f t="shared" si="23"/>
        <v>2556739.2706341711</v>
      </c>
      <c r="AC150" s="58">
        <f t="shared" si="24"/>
        <v>-34780.986771779273</v>
      </c>
      <c r="AD150" s="61">
        <f t="shared" si="5"/>
        <v>50175</v>
      </c>
      <c r="AE150" s="58">
        <f t="shared" si="6"/>
        <v>13849.004382601761</v>
      </c>
      <c r="AF150" s="58">
        <f t="shared" si="7"/>
        <v>2535807.2882449939</v>
      </c>
      <c r="AG150" s="58">
        <f t="shared" si="8"/>
        <v>20931.982389177196</v>
      </c>
      <c r="AI150" s="57"/>
      <c r="AJ150" s="58"/>
      <c r="AK150" s="58"/>
      <c r="AL150" s="58"/>
      <c r="AM150" s="58"/>
      <c r="AN150" s="58"/>
    </row>
    <row r="151" spans="10:40">
      <c r="J151" s="86"/>
      <c r="K151" s="58"/>
      <c r="L151" s="58"/>
      <c r="M151" s="58"/>
      <c r="N151" s="58"/>
      <c r="O151" s="58"/>
      <c r="Z151" s="57">
        <f t="shared" si="22"/>
        <v>50175</v>
      </c>
      <c r="AA151" s="58">
        <f t="shared" si="4"/>
        <v>2037</v>
      </c>
      <c r="AB151" s="58">
        <f t="shared" si="23"/>
        <v>2535807.2882449939</v>
      </c>
      <c r="AC151" s="58">
        <f t="shared" si="24"/>
        <v>-34780.986771779273</v>
      </c>
      <c r="AD151" s="61">
        <f t="shared" si="5"/>
        <v>50206</v>
      </c>
      <c r="AE151" s="58">
        <f t="shared" si="6"/>
        <v>13735.62281132705</v>
      </c>
      <c r="AF151" s="58">
        <f t="shared" si="7"/>
        <v>2514761.924284542</v>
      </c>
      <c r="AG151" s="58">
        <f t="shared" si="8"/>
        <v>21045.363960451912</v>
      </c>
      <c r="AI151" s="57"/>
      <c r="AJ151" s="58"/>
      <c r="AK151" s="58"/>
      <c r="AL151" s="58"/>
      <c r="AM151" s="58"/>
      <c r="AN151" s="58"/>
    </row>
    <row r="152" spans="10:40">
      <c r="J152" s="86"/>
      <c r="K152" s="58"/>
      <c r="L152" s="58"/>
      <c r="M152" s="58"/>
      <c r="N152" s="58"/>
      <c r="O152" s="58"/>
      <c r="Z152" s="57">
        <f t="shared" si="22"/>
        <v>50206</v>
      </c>
      <c r="AA152" s="58">
        <f t="shared" si="4"/>
        <v>2037</v>
      </c>
      <c r="AB152" s="58">
        <f t="shared" si="23"/>
        <v>2514761.924284542</v>
      </c>
      <c r="AC152" s="58">
        <f t="shared" si="24"/>
        <v>-34780.986771779273</v>
      </c>
      <c r="AD152" s="61">
        <f t="shared" si="5"/>
        <v>50236</v>
      </c>
      <c r="AE152" s="58">
        <f t="shared" si="6"/>
        <v>13621.627089874602</v>
      </c>
      <c r="AF152" s="58">
        <f t="shared" si="7"/>
        <v>2493602.5646026377</v>
      </c>
      <c r="AG152" s="58">
        <f t="shared" si="8"/>
        <v>21159.359681904316</v>
      </c>
      <c r="AI152" s="57"/>
      <c r="AJ152" s="58"/>
      <c r="AK152" s="58"/>
      <c r="AL152" s="58"/>
      <c r="AM152" s="58"/>
      <c r="AN152" s="58"/>
    </row>
    <row r="153" spans="10:40">
      <c r="J153" s="86"/>
      <c r="K153" s="58"/>
      <c r="L153" s="58"/>
      <c r="M153" s="58"/>
      <c r="N153" s="58"/>
      <c r="O153" s="58"/>
      <c r="Z153" s="57">
        <f t="shared" si="22"/>
        <v>50236</v>
      </c>
      <c r="AA153" s="58">
        <f t="shared" si="4"/>
        <v>2037</v>
      </c>
      <c r="AB153" s="58">
        <f t="shared" si="23"/>
        <v>2493602.5646026377</v>
      </c>
      <c r="AC153" s="58">
        <f t="shared" si="24"/>
        <v>-34780.986771779273</v>
      </c>
      <c r="AD153" s="61">
        <f t="shared" si="5"/>
        <v>50267</v>
      </c>
      <c r="AE153" s="58">
        <f t="shared" si="6"/>
        <v>13507.01389159762</v>
      </c>
      <c r="AF153" s="58">
        <f t="shared" si="7"/>
        <v>2472328.5917224563</v>
      </c>
      <c r="AG153" s="58">
        <f t="shared" si="8"/>
        <v>21273.972880181391</v>
      </c>
      <c r="AI153" s="57"/>
      <c r="AJ153" s="58"/>
      <c r="AK153" s="58"/>
      <c r="AL153" s="58"/>
      <c r="AM153" s="58"/>
      <c r="AN153" s="58"/>
    </row>
    <row r="154" spans="10:40">
      <c r="J154" s="86"/>
      <c r="K154" s="58"/>
      <c r="L154" s="58"/>
      <c r="M154" s="58"/>
      <c r="N154" s="58"/>
      <c r="O154" s="58"/>
      <c r="Z154" s="57">
        <f t="shared" si="22"/>
        <v>50267</v>
      </c>
      <c r="AA154" s="58">
        <f t="shared" si="4"/>
        <v>2037</v>
      </c>
      <c r="AB154" s="58">
        <f t="shared" si="23"/>
        <v>2472328.5917224563</v>
      </c>
      <c r="AC154" s="58">
        <f t="shared" si="24"/>
        <v>-34780.986771779273</v>
      </c>
      <c r="AD154" s="61">
        <f t="shared" si="5"/>
        <v>50298</v>
      </c>
      <c r="AE154" s="58">
        <f t="shared" si="6"/>
        <v>13391.779871829973</v>
      </c>
      <c r="AF154" s="58">
        <f t="shared" si="7"/>
        <v>2450939.3848225069</v>
      </c>
      <c r="AG154" s="58">
        <f t="shared" si="8"/>
        <v>21389.206899949349</v>
      </c>
      <c r="AI154" s="57"/>
      <c r="AJ154" s="58"/>
      <c r="AK154" s="58"/>
      <c r="AL154" s="58"/>
      <c r="AM154" s="58"/>
      <c r="AN154" s="58"/>
    </row>
    <row r="155" spans="10:40">
      <c r="J155" s="86"/>
      <c r="K155" s="58"/>
      <c r="L155" s="58"/>
      <c r="M155" s="58"/>
      <c r="N155" s="58"/>
      <c r="O155" s="58"/>
      <c r="Z155" s="57">
        <f t="shared" si="22"/>
        <v>50298</v>
      </c>
      <c r="AA155" s="58">
        <f t="shared" si="4"/>
        <v>2037</v>
      </c>
      <c r="AB155" s="58">
        <f t="shared" si="23"/>
        <v>2450939.3848225069</v>
      </c>
      <c r="AC155" s="58">
        <f t="shared" si="24"/>
        <v>-34780.986771779273</v>
      </c>
      <c r="AD155" s="61">
        <f t="shared" si="5"/>
        <v>50328</v>
      </c>
      <c r="AE155" s="58">
        <f t="shared" si="6"/>
        <v>13275.92166778858</v>
      </c>
      <c r="AF155" s="58">
        <f t="shared" si="7"/>
        <v>2429434.3197185164</v>
      </c>
      <c r="AG155" s="58">
        <f t="shared" si="8"/>
        <v>21505.065103990491</v>
      </c>
      <c r="AI155" s="57"/>
      <c r="AJ155" s="58"/>
      <c r="AK155" s="58"/>
      <c r="AL155" s="58"/>
      <c r="AM155" s="58"/>
      <c r="AN155" s="58"/>
    </row>
    <row r="156" spans="10:40">
      <c r="J156" s="86"/>
      <c r="K156" s="58"/>
      <c r="L156" s="58"/>
      <c r="M156" s="58"/>
      <c r="N156" s="58"/>
      <c r="O156" s="58"/>
      <c r="Z156" s="57">
        <f t="shared" si="22"/>
        <v>50328</v>
      </c>
      <c r="AA156" s="58">
        <f t="shared" si="4"/>
        <v>2037</v>
      </c>
      <c r="AB156" s="58">
        <f t="shared" si="23"/>
        <v>2429434.3197185164</v>
      </c>
      <c r="AC156" s="58">
        <f t="shared" si="24"/>
        <v>-34780.986771779273</v>
      </c>
      <c r="AD156" s="61">
        <f t="shared" si="5"/>
        <v>50359</v>
      </c>
      <c r="AE156" s="58">
        <f t="shared" si="6"/>
        <v>13159.435898475298</v>
      </c>
      <c r="AF156" s="58">
        <f t="shared" si="7"/>
        <v>2407812.7688452126</v>
      </c>
      <c r="AG156" s="58">
        <f t="shared" si="8"/>
        <v>21621.550873303786</v>
      </c>
      <c r="AI156" s="57"/>
      <c r="AJ156" s="58"/>
      <c r="AK156" s="58"/>
      <c r="AL156" s="58"/>
      <c r="AM156" s="58"/>
      <c r="AN156" s="58"/>
    </row>
    <row r="157" spans="10:40">
      <c r="J157" s="86"/>
      <c r="K157" s="58"/>
      <c r="L157" s="58"/>
      <c r="M157" s="58"/>
      <c r="N157" s="58"/>
      <c r="O157" s="58"/>
      <c r="Z157" s="57">
        <f t="shared" si="22"/>
        <v>50359</v>
      </c>
      <c r="AA157" s="58">
        <f t="shared" si="4"/>
        <v>2037</v>
      </c>
      <c r="AB157" s="58">
        <f t="shared" si="23"/>
        <v>2407812.7688452126</v>
      </c>
      <c r="AC157" s="58">
        <f t="shared" si="24"/>
        <v>-34780.986771779273</v>
      </c>
      <c r="AD157" s="61">
        <f t="shared" si="5"/>
        <v>50389</v>
      </c>
      <c r="AE157" s="58">
        <f t="shared" si="6"/>
        <v>13042.319164578235</v>
      </c>
      <c r="AF157" s="58">
        <f t="shared" si="7"/>
        <v>2386074.1012380118</v>
      </c>
      <c r="AG157" s="58">
        <f t="shared" si="8"/>
        <v>21738.667607200798</v>
      </c>
      <c r="AI157" s="57"/>
      <c r="AJ157" s="58"/>
      <c r="AK157" s="58"/>
      <c r="AL157" s="58"/>
      <c r="AM157" s="58"/>
      <c r="AN157" s="58"/>
    </row>
    <row r="158" spans="10:40">
      <c r="J158" s="86"/>
      <c r="K158" s="58"/>
      <c r="L158" s="58"/>
      <c r="M158" s="58"/>
      <c r="N158" s="58"/>
      <c r="O158" s="58"/>
      <c r="Z158" s="57">
        <f t="shared" si="22"/>
        <v>50389</v>
      </c>
      <c r="AA158" s="58">
        <f t="shared" si="4"/>
        <v>2038</v>
      </c>
      <c r="AB158" s="58">
        <f t="shared" si="23"/>
        <v>2386074.1012380118</v>
      </c>
      <c r="AC158" s="58">
        <f t="shared" si="24"/>
        <v>-34780.986771779273</v>
      </c>
      <c r="AD158" s="61">
        <f t="shared" si="5"/>
        <v>50420</v>
      </c>
      <c r="AE158" s="58">
        <f t="shared" si="6"/>
        <v>12924.568048372565</v>
      </c>
      <c r="AF158" s="58">
        <f t="shared" si="7"/>
        <v>2364217.6825146051</v>
      </c>
      <c r="AG158" s="58">
        <f t="shared" si="8"/>
        <v>21856.418723406736</v>
      </c>
      <c r="AI158" s="57"/>
      <c r="AJ158" s="58"/>
      <c r="AK158" s="58"/>
      <c r="AL158" s="58"/>
      <c r="AM158" s="58"/>
      <c r="AN158" s="58"/>
    </row>
    <row r="159" spans="10:40">
      <c r="J159" s="86"/>
      <c r="K159" s="58"/>
      <c r="L159" s="58"/>
      <c r="M159" s="58"/>
      <c r="N159" s="58"/>
      <c r="O159" s="58"/>
      <c r="Z159" s="57">
        <f t="shared" si="22"/>
        <v>50420</v>
      </c>
      <c r="AA159" s="58">
        <f t="shared" si="4"/>
        <v>2038</v>
      </c>
      <c r="AB159" s="58">
        <f t="shared" si="23"/>
        <v>2364217.6825146051</v>
      </c>
      <c r="AC159" s="58">
        <f t="shared" si="24"/>
        <v>-34780.986771779273</v>
      </c>
      <c r="AD159" s="61">
        <f t="shared" si="5"/>
        <v>50451</v>
      </c>
      <c r="AE159" s="58">
        <f t="shared" si="6"/>
        <v>12806.179113620778</v>
      </c>
      <c r="AF159" s="58">
        <f t="shared" si="7"/>
        <v>2342242.8748564469</v>
      </c>
      <c r="AG159" s="58">
        <f t="shared" si="8"/>
        <v>21974.807658158243</v>
      </c>
      <c r="AI159" s="57"/>
      <c r="AJ159" s="58"/>
      <c r="AK159" s="58"/>
      <c r="AL159" s="58"/>
      <c r="AM159" s="58"/>
      <c r="AN159" s="58"/>
    </row>
    <row r="160" spans="10:40">
      <c r="J160" s="86"/>
      <c r="K160" s="58"/>
      <c r="L160" s="58"/>
      <c r="M160" s="58"/>
      <c r="N160" s="58"/>
      <c r="O160" s="58"/>
      <c r="Z160" s="57">
        <f t="shared" si="22"/>
        <v>50451</v>
      </c>
      <c r="AA160" s="58">
        <f t="shared" si="4"/>
        <v>2038</v>
      </c>
      <c r="AB160" s="58">
        <f t="shared" si="23"/>
        <v>2342242.8748564469</v>
      </c>
      <c r="AC160" s="58">
        <f t="shared" si="24"/>
        <v>-34780.986771779273</v>
      </c>
      <c r="AD160" s="61">
        <f t="shared" si="5"/>
        <v>50479</v>
      </c>
      <c r="AE160" s="58">
        <f t="shared" si="6"/>
        <v>12687.148905472421</v>
      </c>
      <c r="AF160" s="58">
        <f t="shared" si="7"/>
        <v>2320149.0369901401</v>
      </c>
      <c r="AG160" s="58">
        <f t="shared" si="8"/>
        <v>22093.837866306771</v>
      </c>
      <c r="AI160" s="57"/>
      <c r="AJ160" s="58"/>
      <c r="AK160" s="58"/>
      <c r="AL160" s="58"/>
      <c r="AM160" s="58"/>
      <c r="AN160" s="58"/>
    </row>
    <row r="161" spans="10:40">
      <c r="J161" s="86"/>
      <c r="K161" s="58"/>
      <c r="L161" s="58"/>
      <c r="M161" s="58"/>
      <c r="N161" s="58"/>
      <c r="O161" s="58"/>
      <c r="Z161" s="57">
        <f t="shared" si="22"/>
        <v>50479</v>
      </c>
      <c r="AA161" s="58">
        <f t="shared" si="4"/>
        <v>2038</v>
      </c>
      <c r="AB161" s="58">
        <f t="shared" si="23"/>
        <v>2320149.0369901401</v>
      </c>
      <c r="AC161" s="58">
        <f t="shared" si="24"/>
        <v>-34780.986771779273</v>
      </c>
      <c r="AD161" s="61">
        <f t="shared" si="5"/>
        <v>50510</v>
      </c>
      <c r="AE161" s="58">
        <f t="shared" si="6"/>
        <v>12567.473950363259</v>
      </c>
      <c r="AF161" s="58">
        <f t="shared" si="7"/>
        <v>2297935.5241687242</v>
      </c>
      <c r="AG161" s="58">
        <f t="shared" si="8"/>
        <v>22213.512821415905</v>
      </c>
      <c r="AI161" s="57"/>
      <c r="AJ161" s="58"/>
      <c r="AK161" s="58"/>
      <c r="AL161" s="58"/>
      <c r="AM161" s="58"/>
      <c r="AN161" s="58"/>
    </row>
    <row r="162" spans="10:40">
      <c r="J162" s="86"/>
      <c r="K162" s="58"/>
      <c r="L162" s="58"/>
      <c r="M162" s="58"/>
      <c r="N162" s="58"/>
      <c r="O162" s="58"/>
      <c r="Z162" s="57">
        <f t="shared" si="22"/>
        <v>50510</v>
      </c>
      <c r="AA162" s="58">
        <f t="shared" si="4"/>
        <v>2038</v>
      </c>
      <c r="AB162" s="58">
        <f t="shared" si="23"/>
        <v>2297935.5241687242</v>
      </c>
      <c r="AC162" s="58">
        <f t="shared" si="24"/>
        <v>-34780.986771779273</v>
      </c>
      <c r="AD162" s="61">
        <f t="shared" si="5"/>
        <v>50540</v>
      </c>
      <c r="AE162" s="58">
        <f t="shared" si="6"/>
        <v>12447.150755913923</v>
      </c>
      <c r="AF162" s="58">
        <f t="shared" si="7"/>
        <v>2275601.688152859</v>
      </c>
      <c r="AG162" s="58">
        <f t="shared" si="8"/>
        <v>22333.836015865207</v>
      </c>
      <c r="AI162" s="57"/>
      <c r="AJ162" s="58"/>
      <c r="AK162" s="58"/>
      <c r="AL162" s="58"/>
      <c r="AM162" s="58"/>
      <c r="AN162" s="58"/>
    </row>
    <row r="163" spans="10:40">
      <c r="J163" s="86"/>
      <c r="K163" s="58"/>
      <c r="L163" s="58"/>
      <c r="M163" s="58"/>
      <c r="N163" s="58"/>
      <c r="O163" s="58"/>
      <c r="Z163" s="57">
        <f t="shared" si="22"/>
        <v>50540</v>
      </c>
      <c r="AA163" s="58">
        <f t="shared" si="4"/>
        <v>2038</v>
      </c>
      <c r="AB163" s="58">
        <f t="shared" si="23"/>
        <v>2275601.688152859</v>
      </c>
      <c r="AC163" s="58">
        <f t="shared" si="24"/>
        <v>-34780.986771779273</v>
      </c>
      <c r="AD163" s="61">
        <f t="shared" si="5"/>
        <v>50571</v>
      </c>
      <c r="AE163" s="58">
        <f t="shared" si="6"/>
        <v>12326.175810827986</v>
      </c>
      <c r="AF163" s="58">
        <f t="shared" si="7"/>
        <v>2253146.8771919077</v>
      </c>
      <c r="AG163" s="58">
        <f t="shared" si="8"/>
        <v>22454.810960951261</v>
      </c>
      <c r="AI163" s="57"/>
      <c r="AJ163" s="58"/>
      <c r="AK163" s="58"/>
      <c r="AL163" s="58"/>
      <c r="AM163" s="58"/>
      <c r="AN163" s="58"/>
    </row>
    <row r="164" spans="10:40">
      <c r="J164" s="86"/>
      <c r="K164" s="58"/>
      <c r="L164" s="58"/>
      <c r="M164" s="58"/>
      <c r="N164" s="58"/>
      <c r="O164" s="58"/>
      <c r="Z164" s="57">
        <f t="shared" si="22"/>
        <v>50571</v>
      </c>
      <c r="AA164" s="58">
        <f t="shared" si="4"/>
        <v>2038</v>
      </c>
      <c r="AB164" s="58">
        <f t="shared" si="23"/>
        <v>2253146.8771919077</v>
      </c>
      <c r="AC164" s="58">
        <f t="shared" si="24"/>
        <v>-34780.986771779273</v>
      </c>
      <c r="AD164" s="61">
        <f t="shared" si="5"/>
        <v>50601</v>
      </c>
      <c r="AE164" s="58">
        <f t="shared" si="6"/>
        <v>12204.545584789501</v>
      </c>
      <c r="AF164" s="58">
        <f t="shared" si="7"/>
        <v>2230570.4360049181</v>
      </c>
      <c r="AG164" s="58">
        <f t="shared" si="8"/>
        <v>22576.441186989658</v>
      </c>
      <c r="AI164" s="57"/>
      <c r="AJ164" s="58"/>
      <c r="AK164" s="58"/>
      <c r="AL164" s="58"/>
      <c r="AM164" s="58"/>
      <c r="AN164" s="58"/>
    </row>
    <row r="165" spans="10:40">
      <c r="J165" s="86"/>
      <c r="K165" s="58"/>
      <c r="L165" s="58"/>
      <c r="M165" s="58"/>
      <c r="N165" s="58"/>
      <c r="O165" s="58"/>
      <c r="Z165" s="57">
        <f t="shared" si="22"/>
        <v>50601</v>
      </c>
      <c r="AA165" s="58">
        <f t="shared" si="4"/>
        <v>2038</v>
      </c>
      <c r="AB165" s="58">
        <f t="shared" si="23"/>
        <v>2230570.4360049181</v>
      </c>
      <c r="AC165" s="58">
        <f t="shared" si="24"/>
        <v>-34780.986771779273</v>
      </c>
      <c r="AD165" s="61">
        <f t="shared" si="5"/>
        <v>50632</v>
      </c>
      <c r="AE165" s="58">
        <f t="shared" si="6"/>
        <v>12082.256528359972</v>
      </c>
      <c r="AF165" s="58">
        <f t="shared" si="7"/>
        <v>2207871.7057614988</v>
      </c>
      <c r="AG165" s="58">
        <f t="shared" si="8"/>
        <v>22698.730243419297</v>
      </c>
      <c r="AI165" s="57"/>
      <c r="AJ165" s="58"/>
      <c r="AK165" s="58"/>
      <c r="AL165" s="58"/>
      <c r="AM165" s="58"/>
      <c r="AN165" s="58"/>
    </row>
    <row r="166" spans="10:40">
      <c r="J166" s="86"/>
      <c r="K166" s="58"/>
      <c r="L166" s="58"/>
      <c r="M166" s="58"/>
      <c r="N166" s="58"/>
      <c r="O166" s="58"/>
      <c r="Z166" s="57">
        <f t="shared" si="22"/>
        <v>50632</v>
      </c>
      <c r="AA166" s="58">
        <f t="shared" si="4"/>
        <v>2038</v>
      </c>
      <c r="AB166" s="58">
        <f t="shared" si="23"/>
        <v>2207871.7057614988</v>
      </c>
      <c r="AC166" s="58">
        <f t="shared" si="24"/>
        <v>-34780.986771779273</v>
      </c>
      <c r="AD166" s="61">
        <f t="shared" si="5"/>
        <v>50663</v>
      </c>
      <c r="AE166" s="58">
        <f t="shared" si="6"/>
        <v>11959.305072874786</v>
      </c>
      <c r="AF166" s="58">
        <f t="shared" si="7"/>
        <v>2185050.0240625944</v>
      </c>
      <c r="AG166" s="58">
        <f t="shared" si="8"/>
        <v>22821.681698904373</v>
      </c>
      <c r="AI166" s="57"/>
      <c r="AJ166" s="58"/>
      <c r="AK166" s="58"/>
      <c r="AL166" s="58"/>
      <c r="AM166" s="58"/>
      <c r="AN166" s="58"/>
    </row>
    <row r="167" spans="10:40">
      <c r="J167" s="86"/>
      <c r="K167" s="58"/>
      <c r="L167" s="58"/>
      <c r="M167" s="58"/>
      <c r="N167" s="58"/>
      <c r="O167" s="58"/>
      <c r="Z167" s="57">
        <f t="shared" si="22"/>
        <v>50663</v>
      </c>
      <c r="AA167" s="58">
        <f t="shared" si="4"/>
        <v>2038</v>
      </c>
      <c r="AB167" s="58">
        <f t="shared" si="23"/>
        <v>2185050.0240625944</v>
      </c>
      <c r="AC167" s="58">
        <f t="shared" si="24"/>
        <v>-34780.986771779273</v>
      </c>
      <c r="AD167" s="61">
        <f t="shared" si="5"/>
        <v>50693</v>
      </c>
      <c r="AE167" s="58">
        <f t="shared" si="6"/>
        <v>11835.687630339053</v>
      </c>
      <c r="AF167" s="58">
        <f t="shared" si="7"/>
        <v>2162104.7249211543</v>
      </c>
      <c r="AG167" s="58">
        <f t="shared" si="8"/>
        <v>22945.299141440075</v>
      </c>
      <c r="AI167" s="57"/>
      <c r="AJ167" s="58"/>
      <c r="AK167" s="58"/>
      <c r="AL167" s="58"/>
      <c r="AM167" s="58"/>
      <c r="AN167" s="58"/>
    </row>
    <row r="168" spans="10:40">
      <c r="J168" s="86"/>
      <c r="K168" s="58"/>
      <c r="L168" s="58"/>
      <c r="M168" s="58"/>
      <c r="N168" s="58"/>
      <c r="O168" s="58"/>
      <c r="Z168" s="57">
        <f t="shared" si="22"/>
        <v>50693</v>
      </c>
      <c r="AA168" s="58">
        <f t="shared" si="4"/>
        <v>2038</v>
      </c>
      <c r="AB168" s="58">
        <f t="shared" si="23"/>
        <v>2162104.7249211543</v>
      </c>
      <c r="AC168" s="58">
        <f t="shared" si="24"/>
        <v>-34780.986771779273</v>
      </c>
      <c r="AD168" s="61">
        <f t="shared" si="5"/>
        <v>50724</v>
      </c>
      <c r="AE168" s="58">
        <f t="shared" si="6"/>
        <v>11711.40059332292</v>
      </c>
      <c r="AF168" s="58">
        <f t="shared" si="7"/>
        <v>2139035.1387426979</v>
      </c>
      <c r="AG168" s="58">
        <f t="shared" si="8"/>
        <v>23069.586178456433</v>
      </c>
      <c r="AI168" s="57"/>
      <c r="AJ168" s="58"/>
      <c r="AK168" s="58"/>
      <c r="AL168" s="58"/>
      <c r="AM168" s="58"/>
      <c r="AN168" s="58"/>
    </row>
    <row r="169" spans="10:40">
      <c r="J169" s="86"/>
      <c r="K169" s="58"/>
      <c r="L169" s="58"/>
      <c r="M169" s="58"/>
      <c r="N169" s="58"/>
      <c r="O169" s="58"/>
      <c r="Z169" s="57">
        <f t="shared" si="22"/>
        <v>50724</v>
      </c>
      <c r="AA169" s="58">
        <f t="shared" si="4"/>
        <v>2038</v>
      </c>
      <c r="AB169" s="58">
        <f t="shared" si="23"/>
        <v>2139035.1387426979</v>
      </c>
      <c r="AC169" s="58">
        <f t="shared" si="24"/>
        <v>-34780.986771779273</v>
      </c>
      <c r="AD169" s="61">
        <f t="shared" si="5"/>
        <v>50754</v>
      </c>
      <c r="AE169" s="58">
        <f t="shared" si="6"/>
        <v>11586.440334856281</v>
      </c>
      <c r="AF169" s="58">
        <f t="shared" si="7"/>
        <v>2115840.5923057753</v>
      </c>
      <c r="AG169" s="58">
        <f t="shared" si="8"/>
        <v>23194.546436922625</v>
      </c>
      <c r="AI169" s="57"/>
      <c r="AJ169" s="58"/>
      <c r="AK169" s="58"/>
      <c r="AL169" s="58"/>
      <c r="AM169" s="58"/>
      <c r="AN169" s="58"/>
    </row>
    <row r="170" spans="10:40">
      <c r="J170" s="86"/>
      <c r="K170" s="58"/>
      <c r="L170" s="58"/>
      <c r="M170" s="58"/>
      <c r="N170" s="58"/>
      <c r="O170" s="58"/>
      <c r="Z170" s="57">
        <f t="shared" si="22"/>
        <v>50754</v>
      </c>
      <c r="AA170" s="58">
        <f t="shared" si="4"/>
        <v>2039</v>
      </c>
      <c r="AB170" s="58">
        <f t="shared" si="23"/>
        <v>2115840.5923057753</v>
      </c>
      <c r="AC170" s="58">
        <f t="shared" si="24"/>
        <v>-34780.986771779273</v>
      </c>
      <c r="AD170" s="61">
        <f t="shared" si="5"/>
        <v>50785</v>
      </c>
      <c r="AE170" s="58">
        <f t="shared" si="6"/>
        <v>11460.80320832295</v>
      </c>
      <c r="AF170" s="58">
        <f t="shared" si="7"/>
        <v>2092520.4087423189</v>
      </c>
      <c r="AG170" s="58">
        <f t="shared" si="8"/>
        <v>23320.183563456405</v>
      </c>
      <c r="AI170" s="57"/>
      <c r="AJ170" s="58"/>
      <c r="AK170" s="58"/>
      <c r="AL170" s="58"/>
      <c r="AM170" s="58"/>
      <c r="AN170" s="58"/>
    </row>
    <row r="171" spans="10:40">
      <c r="J171" s="86"/>
      <c r="K171" s="58"/>
      <c r="L171" s="58"/>
      <c r="M171" s="58"/>
      <c r="N171" s="58"/>
      <c r="O171" s="58"/>
      <c r="Z171" s="57">
        <f t="shared" si="22"/>
        <v>50785</v>
      </c>
      <c r="AA171" s="58">
        <f t="shared" si="4"/>
        <v>2039</v>
      </c>
      <c r="AB171" s="58">
        <f t="shared" si="23"/>
        <v>2092520.4087423189</v>
      </c>
      <c r="AC171" s="58">
        <f t="shared" si="24"/>
        <v>-34780.986771779273</v>
      </c>
      <c r="AD171" s="61">
        <f t="shared" si="5"/>
        <v>50816</v>
      </c>
      <c r="AE171" s="58">
        <f t="shared" si="6"/>
        <v>11334.485547354228</v>
      </c>
      <c r="AF171" s="58">
        <f t="shared" si="7"/>
        <v>2069073.9075178937</v>
      </c>
      <c r="AG171" s="58">
        <f t="shared" si="8"/>
        <v>23446.501224425156</v>
      </c>
      <c r="AI171" s="57"/>
      <c r="AJ171" s="58"/>
      <c r="AK171" s="58"/>
      <c r="AL171" s="58"/>
      <c r="AM171" s="58"/>
      <c r="AN171" s="58"/>
    </row>
    <row r="172" spans="10:40">
      <c r="J172" s="86"/>
      <c r="K172" s="58"/>
      <c r="L172" s="58"/>
      <c r="M172" s="58"/>
      <c r="N172" s="58"/>
      <c r="O172" s="58"/>
      <c r="Z172" s="57">
        <f t="shared" si="22"/>
        <v>50816</v>
      </c>
      <c r="AA172" s="58">
        <f t="shared" si="4"/>
        <v>2039</v>
      </c>
      <c r="AB172" s="58">
        <f t="shared" si="23"/>
        <v>2069073.9075178937</v>
      </c>
      <c r="AC172" s="58">
        <f t="shared" si="24"/>
        <v>-34780.986771779273</v>
      </c>
      <c r="AD172" s="61">
        <f t="shared" si="5"/>
        <v>50844</v>
      </c>
      <c r="AE172" s="58">
        <f t="shared" si="6"/>
        <v>11207.483665721924</v>
      </c>
      <c r="AF172" s="58">
        <f t="shared" si="7"/>
        <v>2045500.4044118363</v>
      </c>
      <c r="AG172" s="58">
        <f t="shared" si="8"/>
        <v>23573.503106057411</v>
      </c>
      <c r="AI172" s="57"/>
      <c r="AJ172" s="58"/>
      <c r="AK172" s="58"/>
      <c r="AL172" s="58"/>
      <c r="AM172" s="58"/>
      <c r="AN172" s="58"/>
    </row>
    <row r="173" spans="10:40">
      <c r="J173" s="86"/>
      <c r="K173" s="58"/>
      <c r="L173" s="58"/>
      <c r="M173" s="58"/>
      <c r="N173" s="58"/>
      <c r="O173" s="58"/>
      <c r="Z173" s="57">
        <f t="shared" si="22"/>
        <v>50844</v>
      </c>
      <c r="AA173" s="58">
        <f t="shared" si="4"/>
        <v>2039</v>
      </c>
      <c r="AB173" s="58">
        <f t="shared" si="23"/>
        <v>2045500.4044118363</v>
      </c>
      <c r="AC173" s="58">
        <f t="shared" si="24"/>
        <v>-34780.986771779273</v>
      </c>
      <c r="AD173" s="61">
        <f t="shared" si="5"/>
        <v>50875</v>
      </c>
      <c r="AE173" s="58">
        <f t="shared" si="6"/>
        <v>11079.793857230781</v>
      </c>
      <c r="AF173" s="58">
        <f t="shared" si="7"/>
        <v>2021799.2114972877</v>
      </c>
      <c r="AG173" s="58">
        <f t="shared" si="8"/>
        <v>23701.192914548563</v>
      </c>
      <c r="AI173" s="57"/>
      <c r="AJ173" s="58"/>
      <c r="AK173" s="58"/>
      <c r="AL173" s="58"/>
      <c r="AM173" s="58"/>
      <c r="AN173" s="58"/>
    </row>
    <row r="174" spans="10:40">
      <c r="J174" s="86"/>
      <c r="K174" s="58"/>
      <c r="L174" s="58"/>
      <c r="M174" s="58"/>
      <c r="N174" s="58"/>
      <c r="O174" s="58"/>
      <c r="Z174" s="57">
        <f t="shared" si="22"/>
        <v>50875</v>
      </c>
      <c r="AA174" s="58">
        <f t="shared" si="4"/>
        <v>2039</v>
      </c>
      <c r="AB174" s="58">
        <f t="shared" si="23"/>
        <v>2021799.2114972877</v>
      </c>
      <c r="AC174" s="58">
        <f t="shared" si="24"/>
        <v>-34780.986771779273</v>
      </c>
      <c r="AD174" s="61">
        <f t="shared" si="5"/>
        <v>50905</v>
      </c>
      <c r="AE174" s="58">
        <f t="shared" si="6"/>
        <v>10951.412395610309</v>
      </c>
      <c r="AF174" s="58">
        <f t="shared" si="7"/>
        <v>1997969.6371211186</v>
      </c>
      <c r="AG174" s="58">
        <f t="shared" si="8"/>
        <v>23829.574376169126</v>
      </c>
      <c r="AI174" s="57"/>
      <c r="AJ174" s="58"/>
      <c r="AK174" s="58"/>
      <c r="AL174" s="58"/>
      <c r="AM174" s="58"/>
      <c r="AN174" s="58"/>
    </row>
    <row r="175" spans="10:40">
      <c r="J175" s="86"/>
      <c r="K175" s="58"/>
      <c r="L175" s="58"/>
      <c r="M175" s="58"/>
      <c r="N175" s="58"/>
      <c r="O175" s="58"/>
      <c r="Z175" s="57">
        <f t="shared" si="22"/>
        <v>50905</v>
      </c>
      <c r="AA175" s="58">
        <f t="shared" si="4"/>
        <v>2039</v>
      </c>
      <c r="AB175" s="58">
        <f t="shared" si="23"/>
        <v>1997969.6371211186</v>
      </c>
      <c r="AC175" s="58">
        <f t="shared" si="24"/>
        <v>-34780.986771779273</v>
      </c>
      <c r="AD175" s="61">
        <f t="shared" si="5"/>
        <v>50936</v>
      </c>
      <c r="AE175" s="58">
        <f t="shared" si="6"/>
        <v>10822.33553440606</v>
      </c>
      <c r="AF175" s="58">
        <f t="shared" si="7"/>
        <v>1974010.9858837454</v>
      </c>
      <c r="AG175" s="58">
        <f t="shared" si="8"/>
        <v>23958.65123737324</v>
      </c>
      <c r="AI175" s="57"/>
      <c r="AJ175" s="58"/>
      <c r="AK175" s="58"/>
      <c r="AL175" s="58"/>
      <c r="AM175" s="58"/>
      <c r="AN175" s="58"/>
    </row>
    <row r="176" spans="10:40">
      <c r="J176" s="86"/>
      <c r="K176" s="58"/>
      <c r="L176" s="58"/>
      <c r="M176" s="58"/>
      <c r="N176" s="58"/>
      <c r="O176" s="58"/>
      <c r="Z176" s="57">
        <f t="shared" si="22"/>
        <v>50936</v>
      </c>
      <c r="AA176" s="58">
        <f t="shared" si="4"/>
        <v>2039</v>
      </c>
      <c r="AB176" s="58">
        <f t="shared" si="23"/>
        <v>1974010.9858837454</v>
      </c>
      <c r="AC176" s="58">
        <f t="shared" si="24"/>
        <v>-34780.986771779273</v>
      </c>
      <c r="AD176" s="61">
        <f t="shared" si="5"/>
        <v>50966</v>
      </c>
      <c r="AE176" s="58">
        <f t="shared" si="6"/>
        <v>10692.559506870288</v>
      </c>
      <c r="AF176" s="58">
        <f t="shared" si="7"/>
        <v>1949922.5586188363</v>
      </c>
      <c r="AG176" s="58">
        <f t="shared" si="8"/>
        <v>24088.427264909027</v>
      </c>
      <c r="AI176" s="57"/>
      <c r="AJ176" s="58"/>
      <c r="AK176" s="58"/>
      <c r="AL176" s="58"/>
      <c r="AM176" s="58"/>
      <c r="AN176" s="58"/>
    </row>
    <row r="177" spans="10:40">
      <c r="J177" s="86"/>
      <c r="K177" s="58"/>
      <c r="L177" s="58"/>
      <c r="M177" s="58"/>
      <c r="N177" s="58"/>
      <c r="O177" s="58"/>
      <c r="Z177" s="57">
        <f t="shared" si="22"/>
        <v>50966</v>
      </c>
      <c r="AA177" s="58">
        <f t="shared" si="4"/>
        <v>2039</v>
      </c>
      <c r="AB177" s="58">
        <f t="shared" si="23"/>
        <v>1949922.5586188363</v>
      </c>
      <c r="AC177" s="58">
        <f t="shared" si="24"/>
        <v>-34780.986771779273</v>
      </c>
      <c r="AD177" s="61">
        <f t="shared" si="5"/>
        <v>50997</v>
      </c>
      <c r="AE177" s="58">
        <f t="shared" si="6"/>
        <v>10562.08052585203</v>
      </c>
      <c r="AF177" s="58">
        <f t="shared" si="7"/>
        <v>1925703.652372909</v>
      </c>
      <c r="AG177" s="58">
        <f t="shared" si="8"/>
        <v>24218.906245927326</v>
      </c>
      <c r="AI177" s="57"/>
      <c r="AJ177" s="58"/>
      <c r="AK177" s="58"/>
      <c r="AL177" s="58"/>
      <c r="AM177" s="58"/>
      <c r="AN177" s="58"/>
    </row>
    <row r="178" spans="10:40">
      <c r="J178" s="86"/>
      <c r="K178" s="58"/>
      <c r="L178" s="58"/>
      <c r="M178" s="58"/>
      <c r="N178" s="58"/>
      <c r="O178" s="58"/>
      <c r="Z178" s="57">
        <f t="shared" si="22"/>
        <v>50997</v>
      </c>
      <c r="AA178" s="58">
        <f t="shared" si="4"/>
        <v>2039</v>
      </c>
      <c r="AB178" s="58">
        <f t="shared" si="23"/>
        <v>1925703.652372909</v>
      </c>
      <c r="AC178" s="58">
        <f t="shared" si="24"/>
        <v>-34780.986771779273</v>
      </c>
      <c r="AD178" s="61">
        <f t="shared" si="5"/>
        <v>51028</v>
      </c>
      <c r="AE178" s="58">
        <f t="shared" si="6"/>
        <v>10430.89478368659</v>
      </c>
      <c r="AF178" s="58">
        <f t="shared" si="7"/>
        <v>1901353.5603848163</v>
      </c>
      <c r="AG178" s="58">
        <f t="shared" si="8"/>
        <v>24350.091988092754</v>
      </c>
      <c r="AI178" s="57"/>
      <c r="AJ178" s="58"/>
      <c r="AK178" s="58"/>
      <c r="AL178" s="58"/>
      <c r="AM178" s="58"/>
      <c r="AN178" s="58"/>
    </row>
    <row r="179" spans="10:40">
      <c r="J179" s="86"/>
      <c r="K179" s="58"/>
      <c r="L179" s="58"/>
      <c r="M179" s="58"/>
      <c r="N179" s="58"/>
      <c r="O179" s="58"/>
      <c r="Z179" s="57">
        <f t="shared" si="22"/>
        <v>51028</v>
      </c>
      <c r="AA179" s="58">
        <f t="shared" si="4"/>
        <v>2039</v>
      </c>
      <c r="AB179" s="58">
        <f t="shared" si="23"/>
        <v>1901353.5603848163</v>
      </c>
      <c r="AC179" s="58">
        <f t="shared" si="24"/>
        <v>-34780.986771779273</v>
      </c>
      <c r="AD179" s="61">
        <f t="shared" si="5"/>
        <v>51058</v>
      </c>
      <c r="AE179" s="58">
        <f t="shared" si="6"/>
        <v>10298.998452084421</v>
      </c>
      <c r="AF179" s="58">
        <f t="shared" si="7"/>
        <v>1876871.5720651213</v>
      </c>
      <c r="AG179" s="58">
        <f t="shared" si="8"/>
        <v>24481.988319694996</v>
      </c>
      <c r="AI179" s="57"/>
      <c r="AJ179" s="58"/>
      <c r="AK179" s="58"/>
      <c r="AL179" s="58"/>
      <c r="AM179" s="58"/>
      <c r="AN179" s="58"/>
    </row>
    <row r="180" spans="10:40">
      <c r="J180" s="86"/>
      <c r="K180" s="58"/>
      <c r="L180" s="58"/>
      <c r="M180" s="58"/>
      <c r="N180" s="58"/>
      <c r="O180" s="58"/>
      <c r="Z180" s="57">
        <f t="shared" si="22"/>
        <v>51058</v>
      </c>
      <c r="AA180" s="58">
        <f t="shared" si="4"/>
        <v>2039</v>
      </c>
      <c r="AB180" s="58">
        <f t="shared" si="23"/>
        <v>1876871.5720651213</v>
      </c>
      <c r="AC180" s="58">
        <f t="shared" si="24"/>
        <v>-34780.986771779273</v>
      </c>
      <c r="AD180" s="61">
        <f t="shared" si="5"/>
        <v>51089</v>
      </c>
      <c r="AE180" s="58">
        <f t="shared" si="6"/>
        <v>10166.387682019407</v>
      </c>
      <c r="AF180" s="58">
        <f t="shared" si="7"/>
        <v>1852256.9729753614</v>
      </c>
      <c r="AG180" s="58">
        <f t="shared" si="8"/>
        <v>24614.599089759868</v>
      </c>
      <c r="AI180" s="57"/>
      <c r="AJ180" s="58"/>
      <c r="AK180" s="58"/>
      <c r="AL180" s="58"/>
      <c r="AM180" s="58"/>
      <c r="AN180" s="58"/>
    </row>
    <row r="181" spans="10:40">
      <c r="J181" s="86"/>
      <c r="K181" s="58"/>
      <c r="L181" s="58"/>
      <c r="M181" s="58"/>
      <c r="N181" s="58"/>
      <c r="O181" s="58"/>
      <c r="Z181" s="57">
        <f t="shared" si="22"/>
        <v>51089</v>
      </c>
      <c r="AA181" s="58">
        <f t="shared" si="4"/>
        <v>2039</v>
      </c>
      <c r="AB181" s="58">
        <f t="shared" si="23"/>
        <v>1852256.9729753614</v>
      </c>
      <c r="AC181" s="58">
        <f t="shared" si="24"/>
        <v>-34780.986771779273</v>
      </c>
      <c r="AD181" s="61">
        <f t="shared" si="5"/>
        <v>51119</v>
      </c>
      <c r="AE181" s="58">
        <f t="shared" si="6"/>
        <v>10033.05860361654</v>
      </c>
      <c r="AF181" s="58">
        <f t="shared" si="7"/>
        <v>1827509.0448071985</v>
      </c>
      <c r="AG181" s="58">
        <f t="shared" si="8"/>
        <v>24747.928168162936</v>
      </c>
      <c r="AI181" s="57"/>
      <c r="AJ181" s="58"/>
      <c r="AK181" s="58"/>
      <c r="AL181" s="58"/>
      <c r="AM181" s="58"/>
      <c r="AN181" s="58"/>
    </row>
    <row r="182" spans="10:40">
      <c r="J182" s="86"/>
      <c r="K182" s="58"/>
      <c r="L182" s="58"/>
      <c r="M182" s="58"/>
      <c r="N182" s="58"/>
      <c r="O182" s="58"/>
      <c r="Z182" s="57">
        <f t="shared" si="22"/>
        <v>51119</v>
      </c>
      <c r="AA182" s="58">
        <f t="shared" si="4"/>
        <v>2040</v>
      </c>
      <c r="AB182" s="58">
        <f t="shared" si="23"/>
        <v>1827509.0448071985</v>
      </c>
      <c r="AC182" s="58">
        <f t="shared" si="24"/>
        <v>-34780.986771779273</v>
      </c>
      <c r="AD182" s="61">
        <f t="shared" si="5"/>
        <v>51150</v>
      </c>
      <c r="AE182" s="58">
        <f t="shared" si="6"/>
        <v>9899.0073260389927</v>
      </c>
      <c r="AF182" s="58">
        <f t="shared" si="7"/>
        <v>1802627.0653614581</v>
      </c>
      <c r="AG182" s="58">
        <f t="shared" si="8"/>
        <v>24881.979445740348</v>
      </c>
      <c r="AI182" s="57"/>
      <c r="AJ182" s="58"/>
      <c r="AK182" s="58"/>
      <c r="AL182" s="58"/>
      <c r="AM182" s="58"/>
      <c r="AN182" s="58"/>
    </row>
    <row r="183" spans="10:40">
      <c r="J183" s="86"/>
      <c r="K183" s="58"/>
      <c r="L183" s="58"/>
      <c r="M183" s="58"/>
      <c r="N183" s="58"/>
      <c r="O183" s="58"/>
      <c r="Z183" s="57">
        <f t="shared" si="22"/>
        <v>51150</v>
      </c>
      <c r="AA183" s="58">
        <f t="shared" si="4"/>
        <v>2040</v>
      </c>
      <c r="AB183" s="58">
        <f t="shared" si="23"/>
        <v>1802627.0653614581</v>
      </c>
      <c r="AC183" s="58">
        <f t="shared" si="24"/>
        <v>-34780.986771779273</v>
      </c>
      <c r="AD183" s="61">
        <f t="shared" si="5"/>
        <v>51181</v>
      </c>
      <c r="AE183" s="58">
        <f t="shared" si="6"/>
        <v>9764.2299373745645</v>
      </c>
      <c r="AF183" s="58">
        <f t="shared" si="7"/>
        <v>1777610.3085270533</v>
      </c>
      <c r="AG183" s="58">
        <f t="shared" si="8"/>
        <v>25016.756834404776</v>
      </c>
      <c r="AI183" s="57"/>
      <c r="AJ183" s="58"/>
      <c r="AK183" s="58"/>
      <c r="AL183" s="58"/>
      <c r="AM183" s="58"/>
      <c r="AN183" s="58"/>
    </row>
    <row r="184" spans="10:40">
      <c r="J184" s="86"/>
      <c r="K184" s="58"/>
      <c r="L184" s="58"/>
      <c r="M184" s="58"/>
      <c r="N184" s="58"/>
      <c r="O184" s="58"/>
      <c r="Z184" s="57">
        <f t="shared" si="22"/>
        <v>51181</v>
      </c>
      <c r="AA184" s="58">
        <f t="shared" si="4"/>
        <v>2040</v>
      </c>
      <c r="AB184" s="58">
        <f t="shared" si="23"/>
        <v>1777610.3085270533</v>
      </c>
      <c r="AC184" s="58">
        <f t="shared" si="24"/>
        <v>-34780.986771779273</v>
      </c>
      <c r="AD184" s="61">
        <f t="shared" si="5"/>
        <v>51210</v>
      </c>
      <c r="AE184" s="58">
        <f t="shared" si="6"/>
        <v>9628.72250452154</v>
      </c>
      <c r="AF184" s="58">
        <f t="shared" si="7"/>
        <v>1752458.0442597955</v>
      </c>
      <c r="AG184" s="58">
        <f t="shared" si="8"/>
        <v>25152.26426725788</v>
      </c>
      <c r="AI184" s="57"/>
      <c r="AJ184" s="58"/>
      <c r="AK184" s="58"/>
      <c r="AL184" s="58"/>
      <c r="AM184" s="58"/>
      <c r="AN184" s="58"/>
    </row>
    <row r="185" spans="10:40">
      <c r="J185" s="86"/>
      <c r="K185" s="58"/>
      <c r="L185" s="58"/>
      <c r="M185" s="58"/>
      <c r="N185" s="58"/>
      <c r="O185" s="58"/>
      <c r="Z185" s="57">
        <f t="shared" si="22"/>
        <v>51210</v>
      </c>
      <c r="AA185" s="58">
        <f t="shared" si="4"/>
        <v>2040</v>
      </c>
      <c r="AB185" s="58">
        <f t="shared" si="23"/>
        <v>1752458.0442597955</v>
      </c>
      <c r="AC185" s="58">
        <f t="shared" si="24"/>
        <v>-34780.986771779273</v>
      </c>
      <c r="AD185" s="61">
        <f t="shared" si="5"/>
        <v>51241</v>
      </c>
      <c r="AE185" s="58">
        <f t="shared" si="6"/>
        <v>9492.4810730738918</v>
      </c>
      <c r="AF185" s="58">
        <f t="shared" si="7"/>
        <v>1727169.5385610899</v>
      </c>
      <c r="AG185" s="58">
        <f t="shared" si="8"/>
        <v>25288.505698705558</v>
      </c>
      <c r="AI185" s="57"/>
      <c r="AJ185" s="58"/>
      <c r="AK185" s="58"/>
      <c r="AL185" s="58"/>
      <c r="AM185" s="58"/>
      <c r="AN185" s="58"/>
    </row>
    <row r="186" spans="10:40">
      <c r="J186" s="86"/>
      <c r="K186" s="58"/>
      <c r="L186" s="58"/>
      <c r="M186" s="58"/>
      <c r="N186" s="58"/>
      <c r="O186" s="58"/>
      <c r="Z186" s="57">
        <f t="shared" si="22"/>
        <v>51241</v>
      </c>
      <c r="AA186" s="58">
        <f t="shared" si="4"/>
        <v>2040</v>
      </c>
      <c r="AB186" s="58">
        <f t="shared" si="23"/>
        <v>1727169.5385610899</v>
      </c>
      <c r="AC186" s="58">
        <f t="shared" si="24"/>
        <v>-34780.986771779273</v>
      </c>
      <c r="AD186" s="61">
        <f t="shared" si="5"/>
        <v>51271</v>
      </c>
      <c r="AE186" s="58">
        <f t="shared" si="6"/>
        <v>9355.5016672059046</v>
      </c>
      <c r="AF186" s="58">
        <f t="shared" si="7"/>
        <v>1701744.0534565165</v>
      </c>
      <c r="AG186" s="58">
        <f t="shared" si="8"/>
        <v>25425.485104573425</v>
      </c>
      <c r="AI186" s="57"/>
      <c r="AJ186" s="58"/>
      <c r="AK186" s="58"/>
      <c r="AL186" s="58"/>
      <c r="AM186" s="58"/>
      <c r="AN186" s="58"/>
    </row>
    <row r="187" spans="10:40">
      <c r="J187" s="86"/>
      <c r="K187" s="58"/>
      <c r="L187" s="58"/>
      <c r="M187" s="58"/>
      <c r="N187" s="58"/>
      <c r="O187" s="58"/>
      <c r="Z187" s="57">
        <f t="shared" si="22"/>
        <v>51271</v>
      </c>
      <c r="AA187" s="58">
        <f t="shared" si="4"/>
        <v>2040</v>
      </c>
      <c r="AB187" s="58">
        <f t="shared" si="23"/>
        <v>1701744.0534565165</v>
      </c>
      <c r="AC187" s="58">
        <f t="shared" si="24"/>
        <v>-34780.986771779273</v>
      </c>
      <c r="AD187" s="61">
        <f t="shared" si="5"/>
        <v>51302</v>
      </c>
      <c r="AE187" s="58">
        <f t="shared" si="6"/>
        <v>9217.7802895561308</v>
      </c>
      <c r="AF187" s="58">
        <f t="shared" si="7"/>
        <v>1676180.8469742932</v>
      </c>
      <c r="AG187" s="58">
        <f t="shared" si="8"/>
        <v>25563.206482223235</v>
      </c>
      <c r="AI187" s="57"/>
      <c r="AJ187" s="58"/>
      <c r="AK187" s="58"/>
      <c r="AL187" s="58"/>
      <c r="AM187" s="58"/>
      <c r="AN187" s="58"/>
    </row>
    <row r="188" spans="10:40">
      <c r="J188" s="86"/>
      <c r="K188" s="58"/>
      <c r="L188" s="58"/>
      <c r="M188" s="58"/>
      <c r="N188" s="58"/>
      <c r="O188" s="58"/>
      <c r="Z188" s="57">
        <f t="shared" si="22"/>
        <v>51302</v>
      </c>
      <c r="AA188" s="58">
        <f t="shared" si="4"/>
        <v>2040</v>
      </c>
      <c r="AB188" s="58">
        <f t="shared" si="23"/>
        <v>1676180.8469742932</v>
      </c>
      <c r="AC188" s="58">
        <f t="shared" si="24"/>
        <v>-34780.986771779273</v>
      </c>
      <c r="AD188" s="61">
        <f t="shared" si="5"/>
        <v>51332</v>
      </c>
      <c r="AE188" s="58">
        <f t="shared" si="6"/>
        <v>9079.3129211107553</v>
      </c>
      <c r="AF188" s="58">
        <f t="shared" si="7"/>
        <v>1650479.1731236246</v>
      </c>
      <c r="AG188" s="58">
        <f t="shared" si="8"/>
        <v>25701.673850668594</v>
      </c>
      <c r="AI188" s="57"/>
      <c r="AJ188" s="58"/>
      <c r="AK188" s="58"/>
      <c r="AL188" s="58"/>
      <c r="AM188" s="58"/>
      <c r="AN188" s="58"/>
    </row>
    <row r="189" spans="10:40">
      <c r="J189" s="86"/>
      <c r="K189" s="58"/>
      <c r="L189" s="58"/>
      <c r="M189" s="58"/>
      <c r="N189" s="58"/>
      <c r="O189" s="58"/>
      <c r="Z189" s="57">
        <f t="shared" si="22"/>
        <v>51332</v>
      </c>
      <c r="AA189" s="58">
        <f t="shared" si="4"/>
        <v>2040</v>
      </c>
      <c r="AB189" s="58">
        <f t="shared" si="23"/>
        <v>1650479.1731236246</v>
      </c>
      <c r="AC189" s="58">
        <f t="shared" si="24"/>
        <v>-34780.986771779273</v>
      </c>
      <c r="AD189" s="61">
        <f t="shared" si="5"/>
        <v>51363</v>
      </c>
      <c r="AE189" s="58">
        <f t="shared" si="6"/>
        <v>8940.0955210863012</v>
      </c>
      <c r="AF189" s="58">
        <f t="shared" si="7"/>
        <v>1624638.2818729316</v>
      </c>
      <c r="AG189" s="58">
        <f t="shared" si="8"/>
        <v>25840.891250693006</v>
      </c>
      <c r="AI189" s="57"/>
      <c r="AJ189" s="58"/>
      <c r="AK189" s="58"/>
      <c r="AL189" s="58"/>
      <c r="AM189" s="58"/>
      <c r="AN189" s="58"/>
    </row>
    <row r="190" spans="10:40">
      <c r="J190" s="86"/>
      <c r="K190" s="58"/>
      <c r="L190" s="58"/>
      <c r="M190" s="58"/>
      <c r="N190" s="58"/>
      <c r="O190" s="58"/>
      <c r="Z190" s="57">
        <f t="shared" si="22"/>
        <v>51363</v>
      </c>
      <c r="AA190" s="58">
        <f t="shared" si="4"/>
        <v>2040</v>
      </c>
      <c r="AB190" s="58">
        <f t="shared" si="23"/>
        <v>1624638.2818729316</v>
      </c>
      <c r="AC190" s="58">
        <f t="shared" si="24"/>
        <v>-34780.986771779273</v>
      </c>
      <c r="AD190" s="61">
        <f t="shared" si="5"/>
        <v>51394</v>
      </c>
      <c r="AE190" s="58">
        <f t="shared" si="6"/>
        <v>8800.1240268117126</v>
      </c>
      <c r="AF190" s="58">
        <f t="shared" si="7"/>
        <v>1598657.4191279639</v>
      </c>
      <c r="AG190" s="58">
        <f t="shared" si="8"/>
        <v>25980.862744967686</v>
      </c>
      <c r="AI190" s="57"/>
      <c r="AJ190" s="58"/>
      <c r="AK190" s="58"/>
      <c r="AL190" s="58"/>
      <c r="AM190" s="58"/>
      <c r="AN190" s="58"/>
    </row>
    <row r="191" spans="10:40">
      <c r="J191" s="86"/>
      <c r="K191" s="58"/>
      <c r="L191" s="58"/>
      <c r="M191" s="58"/>
      <c r="N191" s="58"/>
      <c r="O191" s="58"/>
      <c r="Z191" s="57">
        <f t="shared" si="22"/>
        <v>51394</v>
      </c>
      <c r="AA191" s="58">
        <f t="shared" si="4"/>
        <v>2040</v>
      </c>
      <c r="AB191" s="58">
        <f t="shared" si="23"/>
        <v>1598657.4191279639</v>
      </c>
      <c r="AC191" s="58">
        <f t="shared" si="24"/>
        <v>-34780.986771779273</v>
      </c>
      <c r="AD191" s="61">
        <f t="shared" si="5"/>
        <v>51424</v>
      </c>
      <c r="AE191" s="58">
        <f t="shared" si="6"/>
        <v>8659.394353609805</v>
      </c>
      <c r="AF191" s="58">
        <f t="shared" si="7"/>
        <v>1572535.8267097943</v>
      </c>
      <c r="AG191" s="58">
        <f t="shared" si="8"/>
        <v>26121.592418169603</v>
      </c>
      <c r="AI191" s="57"/>
      <c r="AJ191" s="58"/>
      <c r="AK191" s="58"/>
      <c r="AL191" s="58"/>
      <c r="AM191" s="58"/>
      <c r="AN191" s="58"/>
    </row>
    <row r="192" spans="10:40">
      <c r="J192" s="86"/>
      <c r="K192" s="58"/>
      <c r="L192" s="58"/>
      <c r="M192" s="58"/>
      <c r="N192" s="58"/>
      <c r="O192" s="58"/>
      <c r="Z192" s="57">
        <f t="shared" si="22"/>
        <v>51424</v>
      </c>
      <c r="AA192" s="58">
        <f t="shared" si="4"/>
        <v>2040</v>
      </c>
      <c r="AB192" s="58">
        <f t="shared" si="23"/>
        <v>1572535.8267097943</v>
      </c>
      <c r="AC192" s="58">
        <f t="shared" si="24"/>
        <v>-34780.986771779273</v>
      </c>
      <c r="AD192" s="61">
        <f t="shared" si="5"/>
        <v>51455</v>
      </c>
      <c r="AE192" s="58">
        <f t="shared" si="6"/>
        <v>8517.9023946780526</v>
      </c>
      <c r="AF192" s="58">
        <f t="shared" si="7"/>
        <v>1546272.742332693</v>
      </c>
      <c r="AG192" s="58">
        <f t="shared" si="8"/>
        <v>26263.08437710139</v>
      </c>
      <c r="AI192" s="57"/>
      <c r="AJ192" s="58"/>
      <c r="AK192" s="58"/>
      <c r="AL192" s="58"/>
      <c r="AM192" s="58"/>
      <c r="AN192" s="58"/>
    </row>
    <row r="193" spans="10:40">
      <c r="J193" s="86"/>
      <c r="K193" s="58"/>
      <c r="L193" s="58"/>
      <c r="M193" s="58"/>
      <c r="N193" s="58"/>
      <c r="O193" s="58"/>
      <c r="Z193" s="57">
        <f t="shared" si="22"/>
        <v>51455</v>
      </c>
      <c r="AA193" s="58">
        <f t="shared" si="4"/>
        <v>2040</v>
      </c>
      <c r="AB193" s="58">
        <f t="shared" si="23"/>
        <v>1546272.742332693</v>
      </c>
      <c r="AC193" s="58">
        <f t="shared" si="24"/>
        <v>-34780.986771779273</v>
      </c>
      <c r="AD193" s="61">
        <f t="shared" si="5"/>
        <v>51485</v>
      </c>
      <c r="AE193" s="58">
        <f t="shared" si="6"/>
        <v>8375.6440209687535</v>
      </c>
      <c r="AF193" s="58">
        <f t="shared" si="7"/>
        <v>1519867.3995818824</v>
      </c>
      <c r="AG193" s="58">
        <f t="shared" si="8"/>
        <v>26405.342750810552</v>
      </c>
      <c r="AI193" s="57"/>
      <c r="AJ193" s="58"/>
      <c r="AK193" s="58"/>
      <c r="AL193" s="58"/>
      <c r="AM193" s="58"/>
      <c r="AN193" s="58"/>
    </row>
    <row r="194" spans="10:40">
      <c r="J194" s="86"/>
      <c r="K194" s="58"/>
      <c r="L194" s="58"/>
      <c r="M194" s="58"/>
      <c r="N194" s="58"/>
      <c r="O194" s="58"/>
      <c r="Z194" s="57">
        <f t="shared" si="22"/>
        <v>51485</v>
      </c>
      <c r="AA194" s="58">
        <f t="shared" si="4"/>
        <v>2041</v>
      </c>
      <c r="AB194" s="58">
        <f t="shared" si="23"/>
        <v>1519867.3995818824</v>
      </c>
      <c r="AC194" s="58">
        <f t="shared" si="24"/>
        <v>-34780.986771779273</v>
      </c>
      <c r="AD194" s="61">
        <f t="shared" si="5"/>
        <v>51516</v>
      </c>
      <c r="AE194" s="58">
        <f t="shared" si="6"/>
        <v>8232.6150810685303</v>
      </c>
      <c r="AF194" s="58">
        <f t="shared" si="7"/>
        <v>1493319.0278911716</v>
      </c>
      <c r="AG194" s="58">
        <f t="shared" si="8"/>
        <v>26548.371690710774</v>
      </c>
      <c r="AI194" s="57"/>
      <c r="AJ194" s="58"/>
      <c r="AK194" s="58"/>
      <c r="AL194" s="58"/>
      <c r="AM194" s="58"/>
      <c r="AN194" s="58"/>
    </row>
    <row r="195" spans="10:40">
      <c r="J195" s="86"/>
      <c r="K195" s="58"/>
      <c r="L195" s="58"/>
      <c r="M195" s="58"/>
      <c r="N195" s="58"/>
      <c r="O195" s="58"/>
      <c r="Z195" s="57">
        <f t="shared" si="22"/>
        <v>51516</v>
      </c>
      <c r="AA195" s="58">
        <f t="shared" si="4"/>
        <v>2041</v>
      </c>
      <c r="AB195" s="58">
        <f t="shared" si="23"/>
        <v>1493319.0278911716</v>
      </c>
      <c r="AC195" s="58">
        <f t="shared" si="24"/>
        <v>-34780.986771779273</v>
      </c>
      <c r="AD195" s="61">
        <f t="shared" si="5"/>
        <v>51547</v>
      </c>
      <c r="AE195" s="58">
        <f t="shared" si="6"/>
        <v>8088.8114010771797</v>
      </c>
      <c r="AF195" s="58">
        <f t="shared" si="7"/>
        <v>1466626.8525204693</v>
      </c>
      <c r="AG195" s="58">
        <f t="shared" si="8"/>
        <v>26692.175370702287</v>
      </c>
      <c r="AI195" s="57"/>
      <c r="AJ195" s="58"/>
      <c r="AK195" s="58"/>
      <c r="AL195" s="58"/>
      <c r="AM195" s="58"/>
      <c r="AN195" s="58"/>
    </row>
    <row r="196" spans="10:40">
      <c r="J196" s="86"/>
      <c r="K196" s="58"/>
      <c r="L196" s="58"/>
      <c r="M196" s="58"/>
      <c r="N196" s="58"/>
      <c r="O196" s="58"/>
      <c r="Z196" s="57">
        <f t="shared" si="22"/>
        <v>51547</v>
      </c>
      <c r="AA196" s="58">
        <f t="shared" si="4"/>
        <v>2041</v>
      </c>
      <c r="AB196" s="58">
        <f t="shared" si="23"/>
        <v>1466626.8525204693</v>
      </c>
      <c r="AC196" s="58">
        <f t="shared" si="24"/>
        <v>-34780.986771779273</v>
      </c>
      <c r="AD196" s="61">
        <f t="shared" si="5"/>
        <v>51575</v>
      </c>
      <c r="AE196" s="58">
        <f t="shared" si="6"/>
        <v>7944.2287844858756</v>
      </c>
      <c r="AF196" s="58">
        <f t="shared" si="7"/>
        <v>1439790.0945331759</v>
      </c>
      <c r="AG196" s="58">
        <f t="shared" si="8"/>
        <v>26836.757987293415</v>
      </c>
      <c r="AI196" s="57"/>
      <c r="AJ196" s="58"/>
      <c r="AK196" s="58"/>
      <c r="AL196" s="58"/>
      <c r="AM196" s="58"/>
      <c r="AN196" s="58"/>
    </row>
    <row r="197" spans="10:40">
      <c r="J197" s="86"/>
      <c r="K197" s="58"/>
      <c r="L197" s="58"/>
      <c r="M197" s="58"/>
      <c r="N197" s="58"/>
      <c r="O197" s="58"/>
      <c r="Z197" s="57">
        <f t="shared" si="22"/>
        <v>51575</v>
      </c>
      <c r="AA197" s="58">
        <f t="shared" si="4"/>
        <v>2041</v>
      </c>
      <c r="AB197" s="58">
        <f t="shared" si="23"/>
        <v>1439790.0945331759</v>
      </c>
      <c r="AC197" s="58">
        <f t="shared" si="24"/>
        <v>-34780.986771779273</v>
      </c>
      <c r="AD197" s="61">
        <f t="shared" si="5"/>
        <v>51606</v>
      </c>
      <c r="AE197" s="58">
        <f t="shared" si="6"/>
        <v>7798.8630120547032</v>
      </c>
      <c r="AF197" s="58">
        <f t="shared" si="7"/>
        <v>1412807.9707734513</v>
      </c>
      <c r="AG197" s="58">
        <f t="shared" si="8"/>
        <v>26982.123759724665</v>
      </c>
      <c r="AI197" s="57"/>
      <c r="AJ197" s="58"/>
      <c r="AK197" s="58"/>
      <c r="AL197" s="58"/>
      <c r="AM197" s="58"/>
      <c r="AN197" s="58"/>
    </row>
    <row r="198" spans="10:40">
      <c r="J198" s="86"/>
      <c r="K198" s="58"/>
      <c r="L198" s="58"/>
      <c r="M198" s="58"/>
      <c r="N198" s="58"/>
      <c r="O198" s="58"/>
      <c r="Z198" s="57">
        <f t="shared" si="22"/>
        <v>51606</v>
      </c>
      <c r="AA198" s="58">
        <f t="shared" si="4"/>
        <v>2041</v>
      </c>
      <c r="AB198" s="58">
        <f t="shared" si="23"/>
        <v>1412807.9707734513</v>
      </c>
      <c r="AC198" s="58">
        <f t="shared" si="24"/>
        <v>-34780.986771779273</v>
      </c>
      <c r="AD198" s="61">
        <f t="shared" si="5"/>
        <v>51636</v>
      </c>
      <c r="AE198" s="58">
        <f t="shared" si="6"/>
        <v>7652.7098416895278</v>
      </c>
      <c r="AF198" s="58">
        <f t="shared" si="7"/>
        <v>1385679.6938433615</v>
      </c>
      <c r="AG198" s="58">
        <f t="shared" si="8"/>
        <v>27128.276930089807</v>
      </c>
      <c r="AI198" s="57"/>
      <c r="AJ198" s="58"/>
      <c r="AK198" s="58"/>
      <c r="AL198" s="58"/>
      <c r="AM198" s="58"/>
      <c r="AN198" s="58"/>
    </row>
    <row r="199" spans="10:40">
      <c r="J199" s="86"/>
      <c r="K199" s="58"/>
      <c r="L199" s="58"/>
      <c r="M199" s="58"/>
      <c r="N199" s="58"/>
      <c r="O199" s="58"/>
      <c r="Z199" s="57">
        <f t="shared" si="22"/>
        <v>51636</v>
      </c>
      <c r="AA199" s="58">
        <f t="shared" si="4"/>
        <v>2041</v>
      </c>
      <c r="AB199" s="58">
        <f t="shared" si="23"/>
        <v>1385679.6938433615</v>
      </c>
      <c r="AC199" s="58">
        <f t="shared" si="24"/>
        <v>-34780.986771779273</v>
      </c>
      <c r="AD199" s="61">
        <f t="shared" si="5"/>
        <v>51667</v>
      </c>
      <c r="AE199" s="58">
        <f t="shared" si="6"/>
        <v>7505.7650083182079</v>
      </c>
      <c r="AF199" s="58">
        <f t="shared" si="7"/>
        <v>1358404.4720799003</v>
      </c>
      <c r="AG199" s="58">
        <f t="shared" si="8"/>
        <v>27275.22176346113</v>
      </c>
      <c r="AI199" s="57"/>
      <c r="AJ199" s="58"/>
      <c r="AK199" s="58"/>
      <c r="AL199" s="58"/>
      <c r="AM199" s="58"/>
      <c r="AN199" s="58"/>
    </row>
    <row r="200" spans="10:40">
      <c r="J200" s="86"/>
      <c r="K200" s="58"/>
      <c r="L200" s="58"/>
      <c r="M200" s="58"/>
      <c r="N200" s="58"/>
      <c r="O200" s="58"/>
      <c r="Z200" s="57">
        <f t="shared" si="22"/>
        <v>51667</v>
      </c>
      <c r="AA200" s="58">
        <f t="shared" si="4"/>
        <v>2041</v>
      </c>
      <c r="AB200" s="58">
        <f t="shared" si="23"/>
        <v>1358404.4720799003</v>
      </c>
      <c r="AC200" s="58">
        <f t="shared" si="24"/>
        <v>-34780.986771779273</v>
      </c>
      <c r="AD200" s="61">
        <f t="shared" si="5"/>
        <v>51697</v>
      </c>
      <c r="AE200" s="58">
        <f t="shared" si="6"/>
        <v>7358.0242237661269</v>
      </c>
      <c r="AF200" s="58">
        <f t="shared" si="7"/>
        <v>1330981.509531887</v>
      </c>
      <c r="AG200" s="58">
        <f t="shared" si="8"/>
        <v>27422.962548013311</v>
      </c>
      <c r="AI200" s="57"/>
      <c r="AJ200" s="58"/>
      <c r="AK200" s="58"/>
      <c r="AL200" s="58"/>
      <c r="AM200" s="58"/>
      <c r="AN200" s="58"/>
    </row>
    <row r="201" spans="10:40">
      <c r="J201" s="86"/>
      <c r="K201" s="58"/>
      <c r="L201" s="58"/>
      <c r="M201" s="58"/>
      <c r="N201" s="58"/>
      <c r="O201" s="58"/>
      <c r="Z201" s="57">
        <f t="shared" si="22"/>
        <v>51697</v>
      </c>
      <c r="AA201" s="58">
        <f t="shared" si="4"/>
        <v>2041</v>
      </c>
      <c r="AB201" s="58">
        <f t="shared" si="23"/>
        <v>1330981.509531887</v>
      </c>
      <c r="AC201" s="58">
        <f t="shared" si="24"/>
        <v>-34780.986771779273</v>
      </c>
      <c r="AD201" s="61">
        <f t="shared" si="5"/>
        <v>51728</v>
      </c>
      <c r="AE201" s="58">
        <f t="shared" si="6"/>
        <v>7209.4831766310554</v>
      </c>
      <c r="AF201" s="58">
        <f t="shared" si="7"/>
        <v>1303410.0059367388</v>
      </c>
      <c r="AG201" s="58">
        <f t="shared" si="8"/>
        <v>27571.503595148213</v>
      </c>
      <c r="AI201" s="57"/>
      <c r="AJ201" s="58"/>
      <c r="AK201" s="58"/>
      <c r="AL201" s="58"/>
      <c r="AM201" s="58"/>
      <c r="AN201" s="58"/>
    </row>
    <row r="202" spans="10:40">
      <c r="J202" s="86"/>
      <c r="K202" s="58"/>
      <c r="L202" s="58"/>
      <c r="M202" s="58"/>
      <c r="N202" s="58"/>
      <c r="O202" s="58"/>
      <c r="Z202" s="57">
        <f t="shared" si="22"/>
        <v>51728</v>
      </c>
      <c r="AA202" s="58">
        <f t="shared" si="4"/>
        <v>2041</v>
      </c>
      <c r="AB202" s="58">
        <f t="shared" si="23"/>
        <v>1303410.0059367388</v>
      </c>
      <c r="AC202" s="58">
        <f t="shared" si="24"/>
        <v>-34780.986771779273</v>
      </c>
      <c r="AD202" s="61">
        <f t="shared" si="5"/>
        <v>51759</v>
      </c>
      <c r="AE202" s="58">
        <f t="shared" si="6"/>
        <v>7060.137532157335</v>
      </c>
      <c r="AF202" s="58">
        <f t="shared" si="7"/>
        <v>1275689.1566971168</v>
      </c>
      <c r="AG202" s="58">
        <f t="shared" si="8"/>
        <v>27720.84923962201</v>
      </c>
      <c r="AI202" s="57"/>
      <c r="AJ202" s="58"/>
      <c r="AK202" s="58"/>
      <c r="AL202" s="58"/>
      <c r="AM202" s="58"/>
      <c r="AN202" s="58"/>
    </row>
    <row r="203" spans="10:40">
      <c r="J203" s="86"/>
      <c r="K203" s="58"/>
      <c r="L203" s="58"/>
      <c r="M203" s="58"/>
      <c r="N203" s="58"/>
      <c r="O203" s="58"/>
      <c r="Z203" s="57">
        <f t="shared" si="22"/>
        <v>51759</v>
      </c>
      <c r="AA203" s="58">
        <f t="shared" si="4"/>
        <v>2041</v>
      </c>
      <c r="AB203" s="58">
        <f t="shared" si="23"/>
        <v>1275689.1566971168</v>
      </c>
      <c r="AC203" s="58">
        <f t="shared" si="24"/>
        <v>-34780.986771779273</v>
      </c>
      <c r="AD203" s="61">
        <f t="shared" si="5"/>
        <v>51789</v>
      </c>
      <c r="AE203" s="58">
        <f t="shared" si="6"/>
        <v>6909.982932109383</v>
      </c>
      <c r="AF203" s="58">
        <f t="shared" si="7"/>
        <v>1247818.1528574468</v>
      </c>
      <c r="AG203" s="58">
        <f t="shared" si="8"/>
        <v>27871.003839669982</v>
      </c>
      <c r="AI203" s="57"/>
      <c r="AJ203" s="58"/>
      <c r="AK203" s="58"/>
      <c r="AL203" s="58"/>
      <c r="AM203" s="58"/>
      <c r="AN203" s="58"/>
    </row>
    <row r="204" spans="10:40">
      <c r="J204" s="86"/>
      <c r="K204" s="58"/>
      <c r="L204" s="58"/>
      <c r="M204" s="58"/>
      <c r="N204" s="58"/>
      <c r="O204" s="58"/>
      <c r="Z204" s="57">
        <f t="shared" si="22"/>
        <v>51789</v>
      </c>
      <c r="AA204" s="58">
        <f t="shared" si="4"/>
        <v>2041</v>
      </c>
      <c r="AB204" s="58">
        <f t="shared" si="23"/>
        <v>1247818.1528574468</v>
      </c>
      <c r="AC204" s="58">
        <f t="shared" si="24"/>
        <v>-34780.986771779273</v>
      </c>
      <c r="AD204" s="61">
        <f t="shared" si="5"/>
        <v>51820</v>
      </c>
      <c r="AE204" s="58">
        <f t="shared" si="6"/>
        <v>6759.0149946445035</v>
      </c>
      <c r="AF204" s="58">
        <f t="shared" si="7"/>
        <v>1219796.181080312</v>
      </c>
      <c r="AG204" s="58">
        <f t="shared" si="8"/>
        <v>28021.971777134808</v>
      </c>
      <c r="AI204" s="57"/>
      <c r="AJ204" s="58"/>
      <c r="AK204" s="58"/>
      <c r="AL204" s="58"/>
      <c r="AM204" s="58"/>
      <c r="AN204" s="58"/>
    </row>
    <row r="205" spans="10:40">
      <c r="J205" s="86"/>
      <c r="K205" s="58"/>
      <c r="L205" s="58"/>
      <c r="M205" s="58"/>
      <c r="N205" s="58"/>
      <c r="O205" s="58"/>
      <c r="Z205" s="57">
        <f t="shared" si="22"/>
        <v>51820</v>
      </c>
      <c r="AA205" s="58">
        <f t="shared" si="4"/>
        <v>2041</v>
      </c>
      <c r="AB205" s="58">
        <f t="shared" si="23"/>
        <v>1219796.181080312</v>
      </c>
      <c r="AC205" s="58">
        <f t="shared" si="24"/>
        <v>-34780.986771779273</v>
      </c>
      <c r="AD205" s="61">
        <f t="shared" si="5"/>
        <v>51850</v>
      </c>
      <c r="AE205" s="58">
        <f t="shared" si="6"/>
        <v>6607.2293141850232</v>
      </c>
      <c r="AF205" s="58">
        <f t="shared" si="7"/>
        <v>1191622.4236227176</v>
      </c>
      <c r="AG205" s="58">
        <f t="shared" si="8"/>
        <v>28173.757457594387</v>
      </c>
      <c r="AI205" s="57"/>
      <c r="AJ205" s="58"/>
      <c r="AK205" s="58"/>
      <c r="AL205" s="58"/>
      <c r="AM205" s="58"/>
      <c r="AN205" s="58"/>
    </row>
    <row r="206" spans="10:40">
      <c r="J206" s="86"/>
      <c r="K206" s="58"/>
      <c r="L206" s="58"/>
      <c r="M206" s="58"/>
      <c r="N206" s="58"/>
      <c r="O206" s="58"/>
      <c r="Z206" s="57">
        <f t="shared" si="22"/>
        <v>51850</v>
      </c>
      <c r="AA206" s="58">
        <f t="shared" si="4"/>
        <v>2042</v>
      </c>
      <c r="AB206" s="58">
        <f t="shared" si="23"/>
        <v>1191622.4236227176</v>
      </c>
      <c r="AC206" s="58">
        <f t="shared" si="24"/>
        <v>-34780.986771779273</v>
      </c>
      <c r="AD206" s="61">
        <f t="shared" si="5"/>
        <v>51881</v>
      </c>
      <c r="AE206" s="58">
        <f t="shared" si="6"/>
        <v>6454.6214612897211</v>
      </c>
      <c r="AF206" s="58">
        <f t="shared" si="7"/>
        <v>1163296.0583122279</v>
      </c>
      <c r="AG206" s="58">
        <f t="shared" si="8"/>
        <v>28326.365310489666</v>
      </c>
      <c r="AI206" s="57"/>
      <c r="AJ206" s="58"/>
      <c r="AK206" s="58"/>
      <c r="AL206" s="58"/>
      <c r="AM206" s="58"/>
      <c r="AN206" s="58"/>
    </row>
    <row r="207" spans="10:40">
      <c r="J207" s="86"/>
      <c r="K207" s="58"/>
      <c r="L207" s="58"/>
      <c r="M207" s="58"/>
      <c r="N207" s="58"/>
      <c r="O207" s="58"/>
      <c r="Z207" s="57">
        <f t="shared" si="22"/>
        <v>51881</v>
      </c>
      <c r="AA207" s="58">
        <f t="shared" si="4"/>
        <v>2042</v>
      </c>
      <c r="AB207" s="58">
        <f t="shared" si="23"/>
        <v>1163296.0583122279</v>
      </c>
      <c r="AC207" s="58">
        <f t="shared" si="24"/>
        <v>-34780.986771779273</v>
      </c>
      <c r="AD207" s="61">
        <f t="shared" si="5"/>
        <v>51912</v>
      </c>
      <c r="AE207" s="58">
        <f t="shared" si="6"/>
        <v>6301.1869825245685</v>
      </c>
      <c r="AF207" s="58">
        <f t="shared" si="7"/>
        <v>1134816.2585229732</v>
      </c>
      <c r="AG207" s="58">
        <f t="shared" si="8"/>
        <v>28479.799789254786</v>
      </c>
      <c r="AI207" s="57"/>
      <c r="AJ207" s="58"/>
      <c r="AK207" s="58"/>
      <c r="AL207" s="58"/>
      <c r="AM207" s="58"/>
      <c r="AN207" s="58"/>
    </row>
    <row r="208" spans="10:40">
      <c r="J208" s="86"/>
      <c r="K208" s="58"/>
      <c r="L208" s="58"/>
      <c r="M208" s="58"/>
      <c r="N208" s="58"/>
      <c r="O208" s="58"/>
      <c r="Z208" s="57">
        <f t="shared" si="22"/>
        <v>51912</v>
      </c>
      <c r="AA208" s="58">
        <f t="shared" si="4"/>
        <v>2042</v>
      </c>
      <c r="AB208" s="58">
        <f t="shared" si="23"/>
        <v>1134816.2585229732</v>
      </c>
      <c r="AC208" s="58">
        <f t="shared" si="24"/>
        <v>-34780.986771779273</v>
      </c>
      <c r="AD208" s="61">
        <f t="shared" si="5"/>
        <v>51940</v>
      </c>
      <c r="AE208" s="58">
        <f t="shared" si="6"/>
        <v>6146.9214003327716</v>
      </c>
      <c r="AF208" s="58">
        <f t="shared" si="7"/>
        <v>1106182.1931515266</v>
      </c>
      <c r="AG208" s="58">
        <f t="shared" si="8"/>
        <v>28634.065371446544</v>
      </c>
      <c r="AI208" s="57"/>
      <c r="AJ208" s="58"/>
      <c r="AK208" s="58"/>
      <c r="AL208" s="58"/>
      <c r="AM208" s="58"/>
      <c r="AN208" s="58"/>
    </row>
    <row r="209" spans="10:40">
      <c r="J209" s="86"/>
      <c r="K209" s="58"/>
      <c r="L209" s="58"/>
      <c r="M209" s="58"/>
      <c r="N209" s="58"/>
      <c r="O209" s="58"/>
      <c r="Z209" s="57">
        <f t="shared" si="22"/>
        <v>51940</v>
      </c>
      <c r="AA209" s="58">
        <f t="shared" si="4"/>
        <v>2042</v>
      </c>
      <c r="AB209" s="58">
        <f t="shared" si="23"/>
        <v>1106182.1931515266</v>
      </c>
      <c r="AC209" s="58">
        <f t="shared" si="24"/>
        <v>-34780.986771779273</v>
      </c>
      <c r="AD209" s="61">
        <f t="shared" si="5"/>
        <v>51971</v>
      </c>
      <c r="AE209" s="58">
        <f t="shared" si="6"/>
        <v>5991.8202129041028</v>
      </c>
      <c r="AF209" s="58">
        <f t="shared" si="7"/>
        <v>1077393.0265926514</v>
      </c>
      <c r="AG209" s="58">
        <f t="shared" si="8"/>
        <v>28789.166558875237</v>
      </c>
      <c r="AI209" s="57"/>
      <c r="AJ209" s="58"/>
      <c r="AK209" s="58"/>
      <c r="AL209" s="58"/>
      <c r="AM209" s="58"/>
      <c r="AN209" s="58"/>
    </row>
    <row r="210" spans="10:40">
      <c r="J210" s="86"/>
      <c r="K210" s="58"/>
      <c r="L210" s="58"/>
      <c r="M210" s="58"/>
      <c r="N210" s="58"/>
      <c r="O210" s="58"/>
      <c r="Z210" s="57">
        <f t="shared" si="22"/>
        <v>51971</v>
      </c>
      <c r="AA210" s="58">
        <f t="shared" si="4"/>
        <v>2042</v>
      </c>
      <c r="AB210" s="58">
        <f t="shared" si="23"/>
        <v>1077393.0265926514</v>
      </c>
      <c r="AC210" s="58">
        <f t="shared" si="24"/>
        <v>-34780.986771779273</v>
      </c>
      <c r="AD210" s="61">
        <f t="shared" si="5"/>
        <v>52001</v>
      </c>
      <c r="AE210" s="58">
        <f t="shared" si="6"/>
        <v>5835.8788940435288</v>
      </c>
      <c r="AF210" s="58">
        <f t="shared" si="7"/>
        <v>1048447.9187149156</v>
      </c>
      <c r="AG210" s="58">
        <f t="shared" si="8"/>
        <v>28945.107877735747</v>
      </c>
      <c r="AI210" s="57"/>
      <c r="AJ210" s="58"/>
      <c r="AK210" s="58"/>
      <c r="AL210" s="58"/>
      <c r="AM210" s="58"/>
      <c r="AN210" s="58"/>
    </row>
    <row r="211" spans="10:40">
      <c r="J211" s="86"/>
      <c r="K211" s="58"/>
      <c r="L211" s="58"/>
      <c r="M211" s="58"/>
      <c r="N211" s="58"/>
      <c r="O211" s="58"/>
      <c r="Z211" s="57">
        <f t="shared" si="22"/>
        <v>52001</v>
      </c>
      <c r="AA211" s="58">
        <f t="shared" si="4"/>
        <v>2042</v>
      </c>
      <c r="AB211" s="58">
        <f t="shared" si="23"/>
        <v>1048447.9187149156</v>
      </c>
      <c r="AC211" s="58">
        <f t="shared" si="24"/>
        <v>-34780.986771779273</v>
      </c>
      <c r="AD211" s="61">
        <f t="shared" si="5"/>
        <v>52032</v>
      </c>
      <c r="AE211" s="58">
        <f t="shared" si="6"/>
        <v>5679.0928930391265</v>
      </c>
      <c r="AF211" s="58">
        <f t="shared" si="7"/>
        <v>1019346.0248361755</v>
      </c>
      <c r="AG211" s="58">
        <f t="shared" si="8"/>
        <v>29101.893878740142</v>
      </c>
      <c r="AI211" s="57"/>
      <c r="AJ211" s="58"/>
      <c r="AK211" s="58"/>
      <c r="AL211" s="58"/>
      <c r="AM211" s="58"/>
      <c r="AN211" s="58"/>
    </row>
    <row r="212" spans="10:40">
      <c r="J212" s="86"/>
      <c r="K212" s="58"/>
      <c r="L212" s="58"/>
      <c r="M212" s="58"/>
      <c r="N212" s="58"/>
      <c r="O212" s="58"/>
      <c r="Z212" s="57">
        <f t="shared" si="22"/>
        <v>52032</v>
      </c>
      <c r="AA212" s="58">
        <f t="shared" si="4"/>
        <v>2042</v>
      </c>
      <c r="AB212" s="58">
        <f t="shared" si="23"/>
        <v>1019346.0248361755</v>
      </c>
      <c r="AC212" s="58">
        <f t="shared" si="24"/>
        <v>-34780.986771779273</v>
      </c>
      <c r="AD212" s="61">
        <f t="shared" si="5"/>
        <v>52062</v>
      </c>
      <c r="AE212" s="58">
        <f t="shared" si="6"/>
        <v>5521.4576345292844</v>
      </c>
      <c r="AF212" s="58">
        <f t="shared" si="7"/>
        <v>990086.49569892557</v>
      </c>
      <c r="AG212" s="58">
        <f t="shared" si="8"/>
        <v>29259.52913724992</v>
      </c>
      <c r="AI212" s="57"/>
      <c r="AJ212" s="58"/>
      <c r="AK212" s="58"/>
      <c r="AL212" s="58"/>
      <c r="AM212" s="58"/>
      <c r="AN212" s="58"/>
    </row>
    <row r="213" spans="10:40">
      <c r="J213" s="86"/>
      <c r="K213" s="58"/>
      <c r="L213" s="58"/>
      <c r="M213" s="58"/>
      <c r="N213" s="58"/>
      <c r="O213" s="58"/>
      <c r="Z213" s="57">
        <f t="shared" si="22"/>
        <v>52062</v>
      </c>
      <c r="AA213" s="58">
        <f t="shared" si="4"/>
        <v>2042</v>
      </c>
      <c r="AB213" s="58">
        <f t="shared" si="23"/>
        <v>990086.49569892557</v>
      </c>
      <c r="AC213" s="58">
        <f t="shared" si="24"/>
        <v>-34780.986771779273</v>
      </c>
      <c r="AD213" s="61">
        <f t="shared" si="5"/>
        <v>52093</v>
      </c>
      <c r="AE213" s="58">
        <f t="shared" si="6"/>
        <v>5362.9685183691799</v>
      </c>
      <c r="AF213" s="58">
        <f t="shared" si="7"/>
        <v>960668.47744551545</v>
      </c>
      <c r="AG213" s="58">
        <f t="shared" si="8"/>
        <v>29418.018253410119</v>
      </c>
      <c r="AI213" s="57"/>
      <c r="AJ213" s="58"/>
      <c r="AK213" s="58"/>
      <c r="AL213" s="58"/>
      <c r="AM213" s="58"/>
      <c r="AN213" s="58"/>
    </row>
    <row r="214" spans="10:40">
      <c r="J214" s="86"/>
      <c r="K214" s="58"/>
      <c r="L214" s="58"/>
      <c r="M214" s="58"/>
      <c r="N214" s="58"/>
      <c r="O214" s="58"/>
      <c r="Z214" s="57">
        <f t="shared" si="22"/>
        <v>52093</v>
      </c>
      <c r="AA214" s="58">
        <f t="shared" si="4"/>
        <v>2042</v>
      </c>
      <c r="AB214" s="58">
        <f t="shared" si="23"/>
        <v>960668.47744551545</v>
      </c>
      <c r="AC214" s="58">
        <f t="shared" si="24"/>
        <v>-34780.986771779273</v>
      </c>
      <c r="AD214" s="61">
        <f t="shared" si="5"/>
        <v>52124</v>
      </c>
      <c r="AE214" s="58">
        <f t="shared" si="6"/>
        <v>5203.6209194965422</v>
      </c>
      <c r="AF214" s="58">
        <f t="shared" si="7"/>
        <v>931091.11159323272</v>
      </c>
      <c r="AG214" s="58">
        <f t="shared" si="8"/>
        <v>29577.365852282732</v>
      </c>
      <c r="AI214" s="57"/>
      <c r="AJ214" s="58"/>
      <c r="AK214" s="58"/>
      <c r="AL214" s="58"/>
      <c r="AM214" s="58"/>
      <c r="AN214" s="58"/>
    </row>
    <row r="215" spans="10:40">
      <c r="J215" s="86"/>
      <c r="K215" s="58"/>
      <c r="L215" s="58"/>
      <c r="M215" s="58"/>
      <c r="N215" s="58"/>
      <c r="O215" s="58"/>
      <c r="Z215" s="57">
        <f t="shared" si="22"/>
        <v>52124</v>
      </c>
      <c r="AA215" s="58">
        <f t="shared" si="4"/>
        <v>2042</v>
      </c>
      <c r="AB215" s="58">
        <f t="shared" si="23"/>
        <v>931091.11159323272</v>
      </c>
      <c r="AC215" s="58">
        <f t="shared" si="24"/>
        <v>-34780.986771779273</v>
      </c>
      <c r="AD215" s="61">
        <f t="shared" si="5"/>
        <v>52154</v>
      </c>
      <c r="AE215" s="58">
        <f t="shared" si="6"/>
        <v>5043.4101877966777</v>
      </c>
      <c r="AF215" s="58">
        <f t="shared" si="7"/>
        <v>901353.53500925016</v>
      </c>
      <c r="AG215" s="58">
        <f t="shared" si="8"/>
        <v>29737.576583982562</v>
      </c>
      <c r="AI215" s="57"/>
      <c r="AJ215" s="58"/>
      <c r="AK215" s="58"/>
      <c r="AL215" s="58"/>
      <c r="AM215" s="58"/>
      <c r="AN215" s="58"/>
    </row>
    <row r="216" spans="10:40">
      <c r="J216" s="86"/>
      <c r="K216" s="58"/>
      <c r="L216" s="58"/>
      <c r="M216" s="58"/>
      <c r="N216" s="58"/>
      <c r="O216" s="58"/>
      <c r="Z216" s="57">
        <f t="shared" si="22"/>
        <v>52154</v>
      </c>
      <c r="AA216" s="58">
        <f t="shared" si="4"/>
        <v>2042</v>
      </c>
      <c r="AB216" s="58">
        <f t="shared" si="23"/>
        <v>901353.53500925016</v>
      </c>
      <c r="AC216" s="58">
        <f t="shared" si="24"/>
        <v>-34780.986771779273</v>
      </c>
      <c r="AD216" s="61">
        <f t="shared" si="5"/>
        <v>52185</v>
      </c>
      <c r="AE216" s="58">
        <f t="shared" si="6"/>
        <v>4882.3316479667719</v>
      </c>
      <c r="AF216" s="58">
        <f t="shared" si="7"/>
        <v>871454.87988543767</v>
      </c>
      <c r="AG216" s="58">
        <f t="shared" si="8"/>
        <v>29898.655123812496</v>
      </c>
      <c r="AI216" s="57"/>
      <c r="AJ216" s="58"/>
      <c r="AK216" s="58"/>
      <c r="AL216" s="58"/>
      <c r="AM216" s="58"/>
      <c r="AN216" s="58"/>
    </row>
    <row r="217" spans="10:40">
      <c r="J217" s="86"/>
      <c r="K217" s="58"/>
      <c r="L217" s="58"/>
      <c r="M217" s="58"/>
      <c r="N217" s="58"/>
      <c r="O217" s="58"/>
      <c r="Z217" s="57">
        <f t="shared" si="22"/>
        <v>52185</v>
      </c>
      <c r="AA217" s="58">
        <f t="shared" si="4"/>
        <v>2042</v>
      </c>
      <c r="AB217" s="58">
        <f t="shared" si="23"/>
        <v>871454.87988543767</v>
      </c>
      <c r="AC217" s="58">
        <f t="shared" si="24"/>
        <v>-34780.986771779273</v>
      </c>
      <c r="AD217" s="61">
        <f t="shared" si="5"/>
        <v>52215</v>
      </c>
      <c r="AE217" s="58">
        <f t="shared" si="6"/>
        <v>4720.380599379454</v>
      </c>
      <c r="AF217" s="58">
        <f t="shared" si="7"/>
        <v>841394.27371303784</v>
      </c>
      <c r="AG217" s="58">
        <f t="shared" si="8"/>
        <v>30060.606172399828</v>
      </c>
      <c r="AI217" s="57"/>
      <c r="AJ217" s="58"/>
      <c r="AK217" s="58"/>
      <c r="AL217" s="58"/>
      <c r="AM217" s="58"/>
      <c r="AN217" s="58"/>
    </row>
    <row r="218" spans="10:40">
      <c r="J218" s="86"/>
      <c r="K218" s="58"/>
      <c r="L218" s="58"/>
      <c r="M218" s="58"/>
      <c r="N218" s="58"/>
      <c r="O218" s="58"/>
      <c r="Z218" s="57">
        <f t="shared" si="22"/>
        <v>52215</v>
      </c>
      <c r="AA218" s="58">
        <f t="shared" si="4"/>
        <v>2043</v>
      </c>
      <c r="AB218" s="58">
        <f t="shared" si="23"/>
        <v>841394.27371303784</v>
      </c>
      <c r="AC218" s="58">
        <f t="shared" si="24"/>
        <v>-34780.986771779273</v>
      </c>
      <c r="AD218" s="61">
        <f t="shared" si="5"/>
        <v>52246</v>
      </c>
      <c r="AE218" s="58">
        <f t="shared" si="6"/>
        <v>4557.5523159456216</v>
      </c>
      <c r="AF218" s="58">
        <f t="shared" si="7"/>
        <v>811170.83925720421</v>
      </c>
      <c r="AG218" s="58">
        <f t="shared" si="8"/>
        <v>30223.434455833631</v>
      </c>
      <c r="AI218" s="57"/>
      <c r="AJ218" s="58"/>
      <c r="AK218" s="58"/>
      <c r="AL218" s="58"/>
      <c r="AM218" s="58"/>
      <c r="AN218" s="58"/>
    </row>
    <row r="219" spans="10:40">
      <c r="J219" s="86"/>
      <c r="K219" s="58"/>
      <c r="L219" s="58"/>
      <c r="M219" s="58"/>
      <c r="N219" s="58"/>
      <c r="O219" s="58"/>
      <c r="Z219" s="57">
        <f t="shared" si="22"/>
        <v>52246</v>
      </c>
      <c r="AA219" s="58">
        <f t="shared" si="4"/>
        <v>2043</v>
      </c>
      <c r="AB219" s="58">
        <f t="shared" si="23"/>
        <v>811170.83925720421</v>
      </c>
      <c r="AC219" s="58">
        <f t="shared" si="24"/>
        <v>-34780.986771779273</v>
      </c>
      <c r="AD219" s="61">
        <f t="shared" si="5"/>
        <v>52277</v>
      </c>
      <c r="AE219" s="58">
        <f t="shared" si="6"/>
        <v>4393.842045976523</v>
      </c>
      <c r="AF219" s="58">
        <f t="shared" si="7"/>
        <v>780783.6945314015</v>
      </c>
      <c r="AG219" s="58">
        <f t="shared" si="8"/>
        <v>30387.144725802704</v>
      </c>
      <c r="AI219" s="57"/>
      <c r="AJ219" s="58"/>
      <c r="AK219" s="58"/>
      <c r="AL219" s="58"/>
      <c r="AM219" s="58"/>
      <c r="AN219" s="58"/>
    </row>
    <row r="220" spans="10:40">
      <c r="J220" s="86"/>
      <c r="K220" s="58"/>
      <c r="L220" s="58"/>
      <c r="M220" s="58"/>
      <c r="N220" s="58"/>
      <c r="O220" s="58"/>
      <c r="Z220" s="57">
        <f t="shared" si="22"/>
        <v>52277</v>
      </c>
      <c r="AA220" s="58">
        <f t="shared" si="4"/>
        <v>2043</v>
      </c>
      <c r="AB220" s="58">
        <f t="shared" si="23"/>
        <v>780783.6945314015</v>
      </c>
      <c r="AC220" s="58">
        <f t="shared" si="24"/>
        <v>-34780.986771779273</v>
      </c>
      <c r="AD220" s="61">
        <f t="shared" si="5"/>
        <v>52305</v>
      </c>
      <c r="AE220" s="58">
        <f t="shared" si="6"/>
        <v>4229.2450120450912</v>
      </c>
      <c r="AF220" s="58">
        <f t="shared" si="7"/>
        <v>750231.95277166739</v>
      </c>
      <c r="AG220" s="58">
        <f t="shared" si="8"/>
        <v>30551.741759734112</v>
      </c>
      <c r="AI220" s="57"/>
      <c r="AJ220" s="58"/>
      <c r="AK220" s="58"/>
      <c r="AL220" s="58"/>
      <c r="AM220" s="58"/>
      <c r="AN220" s="58"/>
    </row>
    <row r="221" spans="10:40">
      <c r="J221" s="86"/>
      <c r="K221" s="58"/>
      <c r="L221" s="58"/>
      <c r="M221" s="58"/>
      <c r="N221" s="58"/>
      <c r="O221" s="58"/>
      <c r="Z221" s="57">
        <f t="shared" si="22"/>
        <v>52305</v>
      </c>
      <c r="AA221" s="58">
        <f t="shared" si="4"/>
        <v>2043</v>
      </c>
      <c r="AB221" s="58">
        <f t="shared" si="23"/>
        <v>750231.95277166739</v>
      </c>
      <c r="AC221" s="58">
        <f t="shared" si="24"/>
        <v>-34780.986771779273</v>
      </c>
      <c r="AD221" s="61">
        <f t="shared" si="5"/>
        <v>52336</v>
      </c>
      <c r="AE221" s="58">
        <f t="shared" si="6"/>
        <v>4063.7564108465317</v>
      </c>
      <c r="AF221" s="58">
        <f t="shared" si="7"/>
        <v>719514.72241073463</v>
      </c>
      <c r="AG221" s="58">
        <f t="shared" si="8"/>
        <v>30717.230360932765</v>
      </c>
      <c r="AI221" s="57"/>
      <c r="AJ221" s="58"/>
      <c r="AK221" s="58"/>
      <c r="AL221" s="58"/>
      <c r="AM221" s="58"/>
      <c r="AN221" s="58"/>
    </row>
    <row r="222" spans="10:40">
      <c r="J222" s="86"/>
      <c r="K222" s="58"/>
      <c r="L222" s="58"/>
      <c r="M222" s="58"/>
      <c r="N222" s="58"/>
      <c r="O222" s="58"/>
      <c r="Z222" s="57">
        <f t="shared" si="22"/>
        <v>52336</v>
      </c>
      <c r="AA222" s="58">
        <f t="shared" si="4"/>
        <v>2043</v>
      </c>
      <c r="AB222" s="58">
        <f t="shared" si="23"/>
        <v>719514.72241073463</v>
      </c>
      <c r="AC222" s="58">
        <f t="shared" si="24"/>
        <v>-34780.986771779273</v>
      </c>
      <c r="AD222" s="61">
        <f t="shared" si="5"/>
        <v>52366</v>
      </c>
      <c r="AE222" s="58">
        <f t="shared" si="6"/>
        <v>3897.3714130581461</v>
      </c>
      <c r="AF222" s="58">
        <f t="shared" si="7"/>
        <v>688631.10705201351</v>
      </c>
      <c r="AG222" s="58">
        <f t="shared" si="8"/>
        <v>30883.615358721116</v>
      </c>
      <c r="AI222" s="57"/>
      <c r="AJ222" s="58"/>
      <c r="AK222" s="58"/>
      <c r="AL222" s="58"/>
      <c r="AM222" s="58"/>
      <c r="AN222" s="58"/>
    </row>
    <row r="223" spans="10:40">
      <c r="J223" s="86"/>
      <c r="K223" s="58"/>
      <c r="L223" s="58"/>
      <c r="M223" s="58"/>
      <c r="N223" s="58"/>
      <c r="O223" s="58"/>
      <c r="Z223" s="57">
        <f t="shared" si="22"/>
        <v>52366</v>
      </c>
      <c r="AA223" s="58">
        <f t="shared" si="4"/>
        <v>2043</v>
      </c>
      <c r="AB223" s="58">
        <f t="shared" si="23"/>
        <v>688631.10705201351</v>
      </c>
      <c r="AC223" s="58">
        <f t="shared" si="24"/>
        <v>-34780.986771779273</v>
      </c>
      <c r="AD223" s="61">
        <f t="shared" si="5"/>
        <v>52397</v>
      </c>
      <c r="AE223" s="58">
        <f t="shared" si="6"/>
        <v>3730.0851631984065</v>
      </c>
      <c r="AF223" s="58">
        <f t="shared" si="7"/>
        <v>657580.20544343267</v>
      </c>
      <c r="AG223" s="58">
        <f t="shared" si="8"/>
        <v>31050.90160858084</v>
      </c>
      <c r="AI223" s="57"/>
      <c r="AJ223" s="58"/>
      <c r="AK223" s="58"/>
      <c r="AL223" s="58"/>
      <c r="AM223" s="58"/>
      <c r="AN223" s="58"/>
    </row>
    <row r="224" spans="10:40">
      <c r="J224" s="86"/>
      <c r="K224" s="58"/>
      <c r="L224" s="58"/>
      <c r="M224" s="58"/>
      <c r="N224" s="58"/>
      <c r="O224" s="58"/>
      <c r="Z224" s="57">
        <f t="shared" si="22"/>
        <v>52397</v>
      </c>
      <c r="AA224" s="58">
        <f t="shared" si="4"/>
        <v>2043</v>
      </c>
      <c r="AB224" s="58">
        <f t="shared" si="23"/>
        <v>657580.20544343267</v>
      </c>
      <c r="AC224" s="58">
        <f t="shared" si="24"/>
        <v>-34780.986771779273</v>
      </c>
      <c r="AD224" s="61">
        <f t="shared" si="5"/>
        <v>52427</v>
      </c>
      <c r="AE224" s="58">
        <f t="shared" si="6"/>
        <v>3561.8927794852602</v>
      </c>
      <c r="AF224" s="58">
        <f t="shared" si="7"/>
        <v>626361.11145113863</v>
      </c>
      <c r="AG224" s="58">
        <f t="shared" si="8"/>
        <v>31219.093992294045</v>
      </c>
      <c r="AI224" s="57"/>
      <c r="AJ224" s="58"/>
      <c r="AK224" s="58"/>
      <c r="AL224" s="58"/>
      <c r="AM224" s="58"/>
      <c r="AN224" s="58"/>
    </row>
    <row r="225" spans="10:40">
      <c r="J225" s="86"/>
      <c r="K225" s="58"/>
      <c r="L225" s="58"/>
      <c r="M225" s="58"/>
      <c r="N225" s="58"/>
      <c r="O225" s="58"/>
      <c r="Z225" s="57">
        <f t="shared" si="22"/>
        <v>52427</v>
      </c>
      <c r="AA225" s="58">
        <f t="shared" si="4"/>
        <v>2043</v>
      </c>
      <c r="AB225" s="58">
        <f t="shared" si="23"/>
        <v>626361.11145113863</v>
      </c>
      <c r="AC225" s="58">
        <f t="shared" si="24"/>
        <v>-34780.986771779273</v>
      </c>
      <c r="AD225" s="61">
        <f t="shared" si="5"/>
        <v>52458</v>
      </c>
      <c r="AE225" s="58">
        <f t="shared" si="6"/>
        <v>3392.7893536936676</v>
      </c>
      <c r="AF225" s="58">
        <f t="shared" si="7"/>
        <v>594972.91403305309</v>
      </c>
      <c r="AG225" s="58">
        <f t="shared" si="8"/>
        <v>31388.197418085532</v>
      </c>
      <c r="AI225" s="57"/>
      <c r="AJ225" s="58"/>
      <c r="AK225" s="58"/>
      <c r="AL225" s="58"/>
      <c r="AM225" s="58"/>
      <c r="AN225" s="58"/>
    </row>
    <row r="226" spans="10:40">
      <c r="J226" s="86"/>
      <c r="K226" s="58"/>
      <c r="L226" s="58"/>
      <c r="M226" s="58"/>
      <c r="N226" s="58"/>
      <c r="O226" s="58"/>
      <c r="Z226" s="57">
        <f t="shared" si="22"/>
        <v>52458</v>
      </c>
      <c r="AA226" s="58">
        <f t="shared" si="4"/>
        <v>2043</v>
      </c>
      <c r="AB226" s="58">
        <f t="shared" si="23"/>
        <v>594972.91403305309</v>
      </c>
      <c r="AC226" s="58">
        <f t="shared" si="24"/>
        <v>-34780.986771779273</v>
      </c>
      <c r="AD226" s="61">
        <f t="shared" si="5"/>
        <v>52489</v>
      </c>
      <c r="AE226" s="58">
        <f t="shared" si="6"/>
        <v>3222.7699510123712</v>
      </c>
      <c r="AF226" s="58">
        <f t="shared" si="7"/>
        <v>563414.69721228618</v>
      </c>
      <c r="AG226" s="58">
        <f t="shared" si="8"/>
        <v>31558.216820766916</v>
      </c>
      <c r="AI226" s="57"/>
      <c r="AJ226" s="58"/>
      <c r="AK226" s="58"/>
      <c r="AL226" s="58"/>
      <c r="AM226" s="58"/>
      <c r="AN226" s="58"/>
    </row>
    <row r="227" spans="10:40">
      <c r="J227" s="86"/>
      <c r="K227" s="58"/>
      <c r="L227" s="58"/>
      <c r="M227" s="58"/>
      <c r="N227" s="58"/>
      <c r="O227" s="58"/>
      <c r="Z227" s="57">
        <f t="shared" si="22"/>
        <v>52489</v>
      </c>
      <c r="AA227" s="58">
        <f t="shared" si="4"/>
        <v>2043</v>
      </c>
      <c r="AB227" s="58">
        <f t="shared" si="23"/>
        <v>563414.69721228618</v>
      </c>
      <c r="AC227" s="58">
        <f t="shared" si="24"/>
        <v>-34780.986771779273</v>
      </c>
      <c r="AD227" s="61">
        <f t="shared" si="5"/>
        <v>52519</v>
      </c>
      <c r="AE227" s="58">
        <f t="shared" si="6"/>
        <v>3051.8296098998835</v>
      </c>
      <c r="AF227" s="58">
        <f t="shared" si="7"/>
        <v>531685.54005040682</v>
      </c>
      <c r="AG227" s="58">
        <f t="shared" si="8"/>
        <v>31729.157161879353</v>
      </c>
      <c r="AI227" s="57"/>
      <c r="AJ227" s="58"/>
      <c r="AK227" s="58"/>
      <c r="AL227" s="58"/>
      <c r="AM227" s="58"/>
      <c r="AN227" s="58"/>
    </row>
    <row r="228" spans="10:40">
      <c r="J228" s="86"/>
      <c r="K228" s="58"/>
      <c r="L228" s="58"/>
      <c r="M228" s="58"/>
      <c r="N228" s="58"/>
      <c r="O228" s="58"/>
      <c r="Z228" s="57">
        <f t="shared" si="22"/>
        <v>52519</v>
      </c>
      <c r="AA228" s="58">
        <f t="shared" si="4"/>
        <v>2043</v>
      </c>
      <c r="AB228" s="58">
        <f t="shared" si="23"/>
        <v>531685.54005040682</v>
      </c>
      <c r="AC228" s="58">
        <f t="shared" si="24"/>
        <v>-34780.986771779273</v>
      </c>
      <c r="AD228" s="61">
        <f t="shared" si="5"/>
        <v>52550</v>
      </c>
      <c r="AE228" s="58">
        <f t="shared" si="6"/>
        <v>2879.9633419397037</v>
      </c>
      <c r="AF228" s="58">
        <f t="shared" si="7"/>
        <v>499784.5166205673</v>
      </c>
      <c r="AG228" s="58">
        <f t="shared" si="8"/>
        <v>31901.023429839523</v>
      </c>
      <c r="AI228" s="57"/>
      <c r="AJ228" s="58"/>
      <c r="AK228" s="58"/>
      <c r="AL228" s="58"/>
      <c r="AM228" s="58"/>
      <c r="AN228" s="58"/>
    </row>
    <row r="229" spans="10:40">
      <c r="J229" s="86"/>
      <c r="K229" s="58"/>
      <c r="L229" s="58"/>
      <c r="M229" s="58"/>
      <c r="N229" s="58"/>
      <c r="O229" s="58"/>
      <c r="Z229" s="57">
        <f t="shared" si="22"/>
        <v>52550</v>
      </c>
      <c r="AA229" s="58">
        <f t="shared" si="4"/>
        <v>2043</v>
      </c>
      <c r="AB229" s="58">
        <f t="shared" si="23"/>
        <v>499784.5166205673</v>
      </c>
      <c r="AC229" s="58">
        <f t="shared" si="24"/>
        <v>-34780.986771779273</v>
      </c>
      <c r="AD229" s="61">
        <f t="shared" si="5"/>
        <v>52580</v>
      </c>
      <c r="AE229" s="58">
        <f t="shared" si="6"/>
        <v>2707.1661316947398</v>
      </c>
      <c r="AF229" s="58">
        <f t="shared" si="7"/>
        <v>467710.69598048279</v>
      </c>
      <c r="AG229" s="58">
        <f t="shared" si="8"/>
        <v>32073.820640084508</v>
      </c>
      <c r="AI229" s="57"/>
      <c r="AJ229" s="58"/>
      <c r="AK229" s="58"/>
      <c r="AL229" s="58"/>
      <c r="AM229" s="58"/>
      <c r="AN229" s="58"/>
    </row>
    <row r="230" spans="10:40">
      <c r="J230" s="86"/>
      <c r="K230" s="58"/>
      <c r="L230" s="58"/>
      <c r="M230" s="58"/>
      <c r="N230" s="58"/>
      <c r="O230" s="58"/>
      <c r="Z230" s="57">
        <f t="shared" si="22"/>
        <v>52580</v>
      </c>
      <c r="AA230" s="58">
        <f t="shared" si="4"/>
        <v>2044</v>
      </c>
      <c r="AB230" s="58">
        <f t="shared" si="23"/>
        <v>467710.69598048279</v>
      </c>
      <c r="AC230" s="58">
        <f t="shared" si="24"/>
        <v>-34780.986771779273</v>
      </c>
      <c r="AD230" s="61">
        <f t="shared" si="5"/>
        <v>52611</v>
      </c>
      <c r="AE230" s="58">
        <f t="shared" si="6"/>
        <v>2533.4329365609487</v>
      </c>
      <c r="AF230" s="58">
        <f t="shared" si="7"/>
        <v>435463.14214526449</v>
      </c>
      <c r="AG230" s="58">
        <f t="shared" si="8"/>
        <v>32247.553835218307</v>
      </c>
      <c r="AI230" s="57"/>
      <c r="AJ230" s="58"/>
      <c r="AK230" s="58"/>
      <c r="AL230" s="58"/>
      <c r="AM230" s="58"/>
      <c r="AN230" s="58"/>
    </row>
    <row r="231" spans="10:40">
      <c r="J231" s="86"/>
      <c r="K231" s="58"/>
      <c r="L231" s="58"/>
      <c r="M231" s="58"/>
      <c r="N231" s="58"/>
      <c r="O231" s="58"/>
      <c r="Z231" s="57">
        <f t="shared" si="22"/>
        <v>52611</v>
      </c>
      <c r="AA231" s="58">
        <f t="shared" si="4"/>
        <v>2044</v>
      </c>
      <c r="AB231" s="58">
        <f t="shared" si="23"/>
        <v>435463.14214526449</v>
      </c>
      <c r="AC231" s="58">
        <f t="shared" si="24"/>
        <v>-34780.986771779273</v>
      </c>
      <c r="AD231" s="61">
        <f t="shared" si="5"/>
        <v>52642</v>
      </c>
      <c r="AE231" s="58">
        <f t="shared" si="6"/>
        <v>2358.7586866201827</v>
      </c>
      <c r="AF231" s="58">
        <f t="shared" si="7"/>
        <v>403040.9140601054</v>
      </c>
      <c r="AG231" s="58">
        <f t="shared" si="8"/>
        <v>32422.228085159091</v>
      </c>
      <c r="AI231" s="57"/>
      <c r="AJ231" s="58"/>
      <c r="AK231" s="58"/>
      <c r="AL231" s="58"/>
      <c r="AM231" s="58"/>
      <c r="AN231" s="58"/>
    </row>
    <row r="232" spans="10:40">
      <c r="J232" s="86"/>
      <c r="K232" s="58"/>
      <c r="L232" s="58"/>
      <c r="M232" s="58"/>
      <c r="N232" s="58"/>
      <c r="O232" s="58"/>
      <c r="Z232" s="57">
        <f t="shared" si="22"/>
        <v>52642</v>
      </c>
      <c r="AA232" s="58">
        <f t="shared" si="4"/>
        <v>2044</v>
      </c>
      <c r="AB232" s="58">
        <f t="shared" si="23"/>
        <v>403040.9140601054</v>
      </c>
      <c r="AC232" s="58">
        <f t="shared" si="24"/>
        <v>-34780.986771779273</v>
      </c>
      <c r="AD232" s="61">
        <f t="shared" si="5"/>
        <v>52671</v>
      </c>
      <c r="AE232" s="58">
        <f t="shared" si="6"/>
        <v>2183.1382844922377</v>
      </c>
      <c r="AF232" s="58">
        <f t="shared" si="7"/>
        <v>370443.06557281839</v>
      </c>
      <c r="AG232" s="58">
        <f t="shared" si="8"/>
        <v>32597.848487287003</v>
      </c>
      <c r="AI232" s="57"/>
      <c r="AJ232" s="58"/>
      <c r="AK232" s="58"/>
      <c r="AL232" s="58"/>
      <c r="AM232" s="58"/>
      <c r="AN232" s="58"/>
    </row>
    <row r="233" spans="10:40">
      <c r="J233" s="86"/>
      <c r="K233" s="58"/>
      <c r="L233" s="58"/>
      <c r="M233" s="58"/>
      <c r="N233" s="58"/>
      <c r="O233" s="58"/>
      <c r="Z233" s="57">
        <f t="shared" si="22"/>
        <v>52671</v>
      </c>
      <c r="AA233" s="58">
        <f t="shared" si="4"/>
        <v>2044</v>
      </c>
      <c r="AB233" s="58">
        <f t="shared" si="23"/>
        <v>370443.06557281839</v>
      </c>
      <c r="AC233" s="58">
        <f t="shared" si="24"/>
        <v>-34780.986771779273</v>
      </c>
      <c r="AD233" s="61">
        <f t="shared" si="5"/>
        <v>52702</v>
      </c>
      <c r="AE233" s="58">
        <f t="shared" si="6"/>
        <v>2006.5666051860997</v>
      </c>
      <c r="AF233" s="58">
        <f t="shared" si="7"/>
        <v>337668.64540622523</v>
      </c>
      <c r="AG233" s="58">
        <f t="shared" si="8"/>
        <v>32774.420166593161</v>
      </c>
      <c r="AI233" s="57"/>
      <c r="AJ233" s="58"/>
      <c r="AK233" s="58"/>
      <c r="AL233" s="58"/>
      <c r="AM233" s="58"/>
      <c r="AN233" s="58"/>
    </row>
    <row r="234" spans="10:40">
      <c r="J234" s="86"/>
      <c r="K234" s="58"/>
      <c r="L234" s="58"/>
      <c r="M234" s="58"/>
      <c r="N234" s="58"/>
      <c r="O234" s="58"/>
      <c r="Z234" s="57">
        <f t="shared" si="22"/>
        <v>52702</v>
      </c>
      <c r="AA234" s="58">
        <f t="shared" si="4"/>
        <v>2044</v>
      </c>
      <c r="AB234" s="58">
        <f t="shared" si="23"/>
        <v>337668.64540622523</v>
      </c>
      <c r="AC234" s="58">
        <f t="shared" si="24"/>
        <v>-34780.986771779273</v>
      </c>
      <c r="AD234" s="61">
        <f t="shared" si="5"/>
        <v>52732</v>
      </c>
      <c r="AE234" s="58">
        <f t="shared" si="6"/>
        <v>1829.0384959503867</v>
      </c>
      <c r="AF234" s="58">
        <f t="shared" si="7"/>
        <v>304716.69713039638</v>
      </c>
      <c r="AG234" s="58">
        <f t="shared" si="8"/>
        <v>32951.94827582885</v>
      </c>
      <c r="AI234" s="57"/>
      <c r="AJ234" s="58"/>
      <c r="AK234" s="58"/>
      <c r="AL234" s="58"/>
      <c r="AM234" s="58"/>
      <c r="AN234" s="58"/>
    </row>
    <row r="235" spans="10:40">
      <c r="J235" s="86"/>
      <c r="K235" s="58"/>
      <c r="L235" s="58"/>
      <c r="M235" s="58"/>
      <c r="N235" s="58"/>
      <c r="O235" s="58"/>
      <c r="Z235" s="57">
        <f t="shared" si="22"/>
        <v>52732</v>
      </c>
      <c r="AA235" s="58">
        <f t="shared" si="4"/>
        <v>2044</v>
      </c>
      <c r="AB235" s="58">
        <f t="shared" si="23"/>
        <v>304716.69713039638</v>
      </c>
      <c r="AC235" s="58">
        <f t="shared" si="24"/>
        <v>-34780.986771779273</v>
      </c>
      <c r="AD235" s="61">
        <f t="shared" si="5"/>
        <v>52763</v>
      </c>
      <c r="AE235" s="58">
        <f t="shared" si="6"/>
        <v>1650.5487761229804</v>
      </c>
      <c r="AF235" s="58">
        <f t="shared" si="7"/>
        <v>271586.2591347401</v>
      </c>
      <c r="AG235" s="58">
        <f t="shared" si="8"/>
        <v>33130.437995656277</v>
      </c>
      <c r="AI235" s="57"/>
      <c r="AJ235" s="58"/>
      <c r="AK235" s="58"/>
      <c r="AL235" s="58"/>
      <c r="AM235" s="58"/>
      <c r="AN235" s="58"/>
    </row>
    <row r="236" spans="10:40">
      <c r="J236" s="86"/>
      <c r="K236" s="58"/>
      <c r="L236" s="58"/>
      <c r="M236" s="58"/>
      <c r="N236" s="58"/>
      <c r="O236" s="58"/>
      <c r="Z236" s="57">
        <f t="shared" si="22"/>
        <v>52763</v>
      </c>
      <c r="AA236" s="58">
        <f t="shared" si="4"/>
        <v>2044</v>
      </c>
      <c r="AB236" s="58">
        <f t="shared" si="23"/>
        <v>271586.2591347401</v>
      </c>
      <c r="AC236" s="58">
        <f t="shared" si="24"/>
        <v>-34780.986771779273</v>
      </c>
      <c r="AD236" s="61">
        <f t="shared" si="5"/>
        <v>52793</v>
      </c>
      <c r="AE236" s="58">
        <f t="shared" si="6"/>
        <v>1471.0922369798423</v>
      </c>
      <c r="AF236" s="58">
        <f t="shared" si="7"/>
        <v>238276.36459994066</v>
      </c>
      <c r="AG236" s="58">
        <f t="shared" si="8"/>
        <v>33309.894534799445</v>
      </c>
      <c r="AI236" s="57"/>
      <c r="AJ236" s="58"/>
      <c r="AK236" s="58"/>
      <c r="AL236" s="58"/>
      <c r="AM236" s="58"/>
      <c r="AN236" s="58"/>
    </row>
    <row r="237" spans="10:40">
      <c r="J237" s="86"/>
      <c r="K237" s="58"/>
      <c r="L237" s="58"/>
      <c r="M237" s="58"/>
      <c r="N237" s="58"/>
      <c r="O237" s="58"/>
      <c r="Z237" s="57">
        <f t="shared" si="22"/>
        <v>52793</v>
      </c>
      <c r="AA237" s="58">
        <f t="shared" si="4"/>
        <v>2044</v>
      </c>
      <c r="AB237" s="58">
        <f t="shared" si="23"/>
        <v>238276.36459994066</v>
      </c>
      <c r="AC237" s="58">
        <f t="shared" si="24"/>
        <v>-34780.986771779273</v>
      </c>
      <c r="AD237" s="61">
        <f t="shared" si="5"/>
        <v>52824</v>
      </c>
      <c r="AE237" s="58">
        <f t="shared" si="6"/>
        <v>1290.6636415830119</v>
      </c>
      <c r="AF237" s="58">
        <f t="shared" si="7"/>
        <v>204786.04146974438</v>
      </c>
      <c r="AG237" s="58">
        <f t="shared" si="8"/>
        <v>33490.323130196281</v>
      </c>
      <c r="AI237" s="57"/>
      <c r="AJ237" s="58"/>
      <c r="AK237" s="58"/>
      <c r="AL237" s="58"/>
      <c r="AM237" s="58"/>
      <c r="AN237" s="58"/>
    </row>
    <row r="238" spans="10:40">
      <c r="J238" s="86"/>
      <c r="K238" s="58"/>
      <c r="L238" s="58"/>
      <c r="M238" s="58"/>
      <c r="N238" s="58"/>
      <c r="O238" s="58"/>
      <c r="Z238" s="57">
        <f t="shared" si="22"/>
        <v>52824</v>
      </c>
      <c r="AA238" s="58">
        <f t="shared" si="4"/>
        <v>2044</v>
      </c>
      <c r="AB238" s="58">
        <f t="shared" si="23"/>
        <v>204786.04146974438</v>
      </c>
      <c r="AC238" s="58">
        <f t="shared" si="24"/>
        <v>-34780.986771779273</v>
      </c>
      <c r="AD238" s="61">
        <f t="shared" si="5"/>
        <v>52855</v>
      </c>
      <c r="AE238" s="58">
        <f t="shared" si="6"/>
        <v>1109.2577246277822</v>
      </c>
      <c r="AF238" s="58">
        <f t="shared" si="7"/>
        <v>171114.31242259289</v>
      </c>
      <c r="AG238" s="58">
        <f t="shared" si="8"/>
        <v>33671.729047151486</v>
      </c>
      <c r="AI238" s="57"/>
      <c r="AJ238" s="58"/>
      <c r="AK238" s="58"/>
      <c r="AL238" s="58"/>
      <c r="AM238" s="58"/>
      <c r="AN238" s="58"/>
    </row>
    <row r="239" spans="10:40">
      <c r="J239" s="86"/>
      <c r="K239" s="58"/>
      <c r="L239" s="58"/>
      <c r="M239" s="58"/>
      <c r="N239" s="58"/>
      <c r="O239" s="58"/>
      <c r="Z239" s="57">
        <f t="shared" si="22"/>
        <v>52855</v>
      </c>
      <c r="AA239" s="58">
        <f t="shared" si="4"/>
        <v>2044</v>
      </c>
      <c r="AB239" s="58">
        <f t="shared" si="23"/>
        <v>171114.31242259289</v>
      </c>
      <c r="AC239" s="58">
        <f t="shared" si="24"/>
        <v>-34780.986771779273</v>
      </c>
      <c r="AD239" s="61">
        <f t="shared" si="5"/>
        <v>52885</v>
      </c>
      <c r="AE239" s="58">
        <f t="shared" si="6"/>
        <v>926.8691922890448</v>
      </c>
      <c r="AF239" s="58">
        <f t="shared" si="7"/>
        <v>137260.19484310265</v>
      </c>
      <c r="AG239" s="58">
        <f t="shared" si="8"/>
        <v>33854.117579490237</v>
      </c>
      <c r="AI239" s="57"/>
      <c r="AJ239" s="58"/>
      <c r="AK239" s="58"/>
      <c r="AL239" s="58"/>
      <c r="AM239" s="58"/>
      <c r="AN239" s="58"/>
    </row>
    <row r="240" spans="10:40">
      <c r="J240" s="86"/>
      <c r="K240" s="58"/>
      <c r="L240" s="58"/>
      <c r="M240" s="58"/>
      <c r="N240" s="58"/>
      <c r="O240" s="58"/>
      <c r="Z240" s="57">
        <f t="shared" si="22"/>
        <v>52885</v>
      </c>
      <c r="AA240" s="58">
        <f t="shared" si="4"/>
        <v>2044</v>
      </c>
      <c r="AB240" s="58">
        <f t="shared" si="23"/>
        <v>137260.19484310265</v>
      </c>
      <c r="AC240" s="58">
        <f t="shared" si="24"/>
        <v>-34780.986771779273</v>
      </c>
      <c r="AD240" s="61">
        <f t="shared" si="5"/>
        <v>52916</v>
      </c>
      <c r="AE240" s="58">
        <f t="shared" si="6"/>
        <v>743.4927220668061</v>
      </c>
      <c r="AF240" s="58">
        <f t="shared" si="7"/>
        <v>103222.70079339018</v>
      </c>
      <c r="AG240" s="58">
        <f t="shared" si="8"/>
        <v>34037.494049712477</v>
      </c>
      <c r="AI240" s="57"/>
      <c r="AJ240" s="58"/>
      <c r="AK240" s="58"/>
      <c r="AL240" s="58"/>
      <c r="AM240" s="58"/>
      <c r="AN240" s="58"/>
    </row>
    <row r="241" spans="10:40">
      <c r="J241" s="86"/>
      <c r="K241" s="58"/>
      <c r="L241" s="58"/>
      <c r="M241" s="58"/>
      <c r="N241" s="58"/>
      <c r="O241" s="58"/>
      <c r="Z241" s="57">
        <f t="shared" si="22"/>
        <v>52916</v>
      </c>
      <c r="AA241" s="58">
        <f t="shared" si="4"/>
        <v>2044</v>
      </c>
      <c r="AB241" s="58">
        <f t="shared" si="23"/>
        <v>103222.70079339018</v>
      </c>
      <c r="AC241" s="58">
        <f t="shared" si="24"/>
        <v>-34780.986771779273</v>
      </c>
      <c r="AD241" s="61">
        <f t="shared" si="5"/>
        <v>52946</v>
      </c>
      <c r="AE241" s="58">
        <f t="shared" si="6"/>
        <v>559.12296263086353</v>
      </c>
      <c r="AF241" s="58">
        <f t="shared" si="7"/>
        <v>69000.836984241774</v>
      </c>
      <c r="AG241" s="58">
        <f t="shared" si="8"/>
        <v>34221.863809148403</v>
      </c>
      <c r="AI241" s="57"/>
      <c r="AJ241" s="58"/>
      <c r="AK241" s="58"/>
      <c r="AL241" s="58"/>
      <c r="AM241" s="58"/>
      <c r="AN241" s="58"/>
    </row>
    <row r="242" spans="10:40">
      <c r="J242" s="86"/>
      <c r="K242" s="58"/>
      <c r="L242" s="58"/>
      <c r="M242" s="58"/>
      <c r="N242" s="58"/>
      <c r="O242" s="58"/>
      <c r="Z242" s="57">
        <f t="shared" si="22"/>
        <v>52946</v>
      </c>
      <c r="AA242" s="58">
        <f t="shared" si="4"/>
        <v>2045</v>
      </c>
      <c r="AB242" s="58">
        <f t="shared" si="23"/>
        <v>69000.836984241774</v>
      </c>
      <c r="AC242" s="58">
        <f t="shared" si="24"/>
        <v>-34780.986771779273</v>
      </c>
      <c r="AD242" s="61">
        <f t="shared" si="5"/>
        <v>52977</v>
      </c>
      <c r="AE242" s="58">
        <f t="shared" si="6"/>
        <v>373.75453366464296</v>
      </c>
      <c r="AF242" s="58">
        <f t="shared" si="7"/>
        <v>34593.604746127145</v>
      </c>
      <c r="AG242" s="58">
        <f t="shared" si="8"/>
        <v>34407.23223811463</v>
      </c>
    </row>
    <row r="243" spans="10:40">
      <c r="J243" s="86"/>
      <c r="K243" s="58"/>
      <c r="L243" s="58"/>
      <c r="M243" s="58"/>
      <c r="N243" s="58"/>
      <c r="O243" s="58"/>
      <c r="Z243" s="57">
        <f t="shared" si="22"/>
        <v>52977</v>
      </c>
      <c r="AA243" s="58">
        <f t="shared" si="4"/>
        <v>1900</v>
      </c>
      <c r="AB243" s="58">
        <f t="shared" si="23"/>
        <v>34593.604746127145</v>
      </c>
      <c r="AC243" s="58">
        <f t="shared" si="24"/>
        <v>-34780.986771779273</v>
      </c>
      <c r="AD243" s="58">
        <f t="shared" si="5"/>
        <v>0</v>
      </c>
      <c r="AE243" s="58">
        <f t="shared" si="6"/>
        <v>187.38202570818871</v>
      </c>
      <c r="AF243" s="58">
        <f t="shared" si="7"/>
        <v>5.6060201814034372E-8</v>
      </c>
      <c r="AG243" s="58"/>
    </row>
    <row r="244" spans="10:40">
      <c r="J244" s="86"/>
      <c r="K244" s="58"/>
      <c r="L244" s="58"/>
      <c r="M244" s="58"/>
      <c r="N244" s="58"/>
      <c r="O244" s="58"/>
    </row>
    <row r="245" spans="10:40">
      <c r="J245" s="86"/>
      <c r="K245" s="58"/>
      <c r="L245" s="58"/>
      <c r="M245" s="58"/>
      <c r="N245" s="58"/>
      <c r="O245" s="58"/>
    </row>
    <row r="246" spans="10:40">
      <c r="J246" s="86"/>
      <c r="K246" s="58"/>
      <c r="L246" s="58"/>
      <c r="M246" s="58"/>
      <c r="N246" s="58"/>
      <c r="O246" s="58"/>
    </row>
    <row r="247" spans="10:40">
      <c r="J247" s="86"/>
      <c r="K247" s="58"/>
      <c r="L247" s="58"/>
      <c r="M247" s="58"/>
      <c r="N247" s="58"/>
      <c r="O247" s="58"/>
    </row>
    <row r="248" spans="10:40">
      <c r="J248" s="86"/>
      <c r="K248" s="58"/>
      <c r="L248" s="58"/>
      <c r="M248" s="58"/>
      <c r="N248" s="58"/>
      <c r="O248" s="58"/>
    </row>
    <row r="249" spans="10:40">
      <c r="J249" s="86"/>
      <c r="K249" s="58"/>
      <c r="L249" s="58"/>
      <c r="M249" s="58"/>
      <c r="N249" s="58"/>
      <c r="O249" s="58"/>
    </row>
    <row r="250" spans="10:40">
      <c r="J250" s="86"/>
      <c r="K250" s="58"/>
      <c r="L250" s="58"/>
      <c r="M250" s="58"/>
      <c r="N250" s="58"/>
      <c r="O250" s="58"/>
    </row>
  </sheetData>
  <autoFilter ref="AQ3:AU37" xr:uid="{00000000-0009-0000-0000-00000E000000}">
    <sortState xmlns:xlrd2="http://schemas.microsoft.com/office/spreadsheetml/2017/richdata2" ref="AQ3:AU37">
      <sortCondition ref="AQ3:AQ37"/>
    </sortState>
  </autoFilter>
  <printOptions horizontalCentered="1" gridLines="1"/>
  <pageMargins left="0.75" right="0.75" top="0.5" bottom="0.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LT CF</vt:lpstr>
      <vt:lpstr>Debt Schedule</vt:lpstr>
      <vt:lpstr>AgInt</vt:lpstr>
      <vt:lpstr>AgP</vt:lpstr>
      <vt:lpstr>AgYears</vt:lpstr>
      <vt:lpstr>BIPAHInt</vt:lpstr>
      <vt:lpstr>BIPAHP</vt:lpstr>
      <vt:lpstr>BIPAHYears</vt:lpstr>
      <vt:lpstr>FCLInt</vt:lpstr>
      <vt:lpstr>FCLP</vt:lpstr>
      <vt:lpstr>FCLYears</vt:lpstr>
      <vt:lpstr>JJBDownPaymentInt</vt:lpstr>
      <vt:lpstr>JJBDownPaymentP</vt:lpstr>
      <vt:lpstr>JJBDownPaymentYears</vt:lpstr>
      <vt:lpstr>JJBLOCP</vt:lpstr>
      <vt:lpstr>JJBLOCYears</vt:lpstr>
      <vt:lpstr>JJBSolarP</vt:lpstr>
      <vt:lpstr>JJBSolarYears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Feder</cp:lastModifiedBy>
  <dcterms:created xsi:type="dcterms:W3CDTF">2026-03-29T02:07:34Z</dcterms:created>
  <dcterms:modified xsi:type="dcterms:W3CDTF">2026-03-29T02:07:34Z</dcterms:modified>
</cp:coreProperties>
</file>